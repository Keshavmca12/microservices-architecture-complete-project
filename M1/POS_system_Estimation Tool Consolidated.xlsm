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pivotTables/pivotTable1.xml" ContentType="application/vnd.openxmlformats-officedocument.spreadsheetml.pivotTable+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00000000-0000-0000-0000-000000000000}"/>
  <workbookPr showInkAnnotation="0" codeName="ThisWorkbook" hidePivotFieldList="1" autoCompressPictures="0"/>
  <mc:AlternateContent xmlns:mc="http://schemas.openxmlformats.org/markup-compatibility/2006">
    <mc:Choice Requires="x15">
      <x15ac:absPath xmlns:x15ac="http://schemas.microsoft.com/office/spreadsheetml/2010/11/ac" url="C:\Users\keskumar2\Documents\mine\TGA\assignment\"/>
    </mc:Choice>
  </mc:AlternateContent>
  <xr:revisionPtr revIDLastSave="0" documentId="13_ncr:1_{98931B5A-1461-4DA9-BCFE-70A886CAC3F9}" xr6:coauthVersionLast="47" xr6:coauthVersionMax="47" xr10:uidLastSave="{00000000-0000-0000-0000-000000000000}"/>
  <bookViews>
    <workbookView xWindow="-110" yWindow="-110" windowWidth="19420" windowHeight="10420" tabRatio="831" activeTab="3" xr2:uid="{00000000-000D-0000-FFFF-FFFF00000000}"/>
  </bookViews>
  <sheets>
    <sheet name="Help" sheetId="3" r:id="rId1"/>
    <sheet name="Project Overview" sheetId="6" r:id="rId2"/>
    <sheet name="Tasks (Metrics)" sheetId="7" r:id="rId3"/>
    <sheet name="Metrics" sheetId="10" r:id="rId4"/>
    <sheet name="Stories" sheetId="13" r:id="rId5"/>
    <sheet name="Add-ins" sheetId="11" r:id="rId6"/>
    <sheet name="Objective Risks" sheetId="12" r:id="rId7"/>
    <sheet name="Staffing Plan" sheetId="17" r:id="rId8"/>
    <sheet name="Track LOE Summary" sheetId="15" r:id="rId9"/>
    <sheet name="Total LOE" sheetId="18" r:id="rId10"/>
    <sheet name="Stories - Export" sheetId="22" state="veryHidden" r:id="rId11"/>
    <sheet name="Staffing Plan - Export" sheetId="19" state="veryHidden" r:id="rId12"/>
    <sheet name="Data" sheetId="4" state="veryHidden" r:id="rId13"/>
    <sheet name="Export Configuration" sheetId="20" state="veryHidden" r:id="rId14"/>
    <sheet name="Assumptions" sheetId="23" r:id="rId15"/>
    <sheet name="Pivot" sheetId="26" r:id="rId16"/>
    <sheet name="Sheet1" sheetId="24" r:id="rId17"/>
  </sheets>
  <externalReferences>
    <externalReference r:id="rId18"/>
    <externalReference r:id="rId19"/>
    <externalReference r:id="rId20"/>
    <externalReference r:id="rId21"/>
  </externalReferences>
  <definedNames>
    <definedName name="_xlnm._FilterDatabase" localSheetId="13" hidden="1">'Export Configuration'!$A$1:$D$23</definedName>
    <definedName name="_xlnm._FilterDatabase" localSheetId="16" hidden="1">Sheet1!$A$1:$C$180</definedName>
    <definedName name="_xlnm._FilterDatabase" localSheetId="4" hidden="1">Stories!$A$13:$V$525</definedName>
    <definedName name="addins_impact_loe_lookup">'Add-ins'!$H$10:$H$35</definedName>
    <definedName name="addins_total_loe">'Add-ins'!$H$7</definedName>
    <definedName name="addins_track_list_lookup">'Add-ins'!$C$10:$C$35</definedName>
    <definedName name="export_list_interfaces_output_columns">OFFSET('Export Configuration'!$A$1,,,COUNTA('Export Configuration'!$A:$A),4)</definedName>
    <definedName name="export_list_interfaces_output_formats">OFFSET('Export Configuration'!$F$1,,,COUNTA('Export Configuration'!$F:$F),3)</definedName>
    <definedName name="list_bill_rate_categories">OFFSET(Data!$J$2,,,COUNTA(Data!$J:$J)-1)</definedName>
    <definedName name="list_bill_rate_india">OFFSET(list_bill_rate_categories,MATCH("India Off-Shore", list_bill_rate_categories,0)-1,,COUNTA(list_bill_rate_categories) - MATCH("India Off-Shore", list_bill_rate_categories,0)+1)</definedName>
    <definedName name="list_bill_rate_local">OFFSET(list_bill_rate_categories,,,MATCH("India Off-shore", list_bill_rate_categories,0)-1)</definedName>
    <definedName name="list_delivery_types">OFFSET(Data!$D$2,,,COUNTA(Data!$D:$D)-1)</definedName>
    <definedName name="list_offices">OFFSET(Data!$K$2,,,COUNTA(Data!$K:$K)-1)</definedName>
    <definedName name="list_offices_india">OFFSET(list_offices,1,,MATCH("## Local Offices ##", list_offices,0) - 2)</definedName>
    <definedName name="list_offices_local">OFFSET(list_offices,MATCH("## Local Offices ##", list_offices,0),,COUNTA(list_offices) - MATCH("## Local Offices ##", list_offices,0))</definedName>
    <definedName name="list_project_tracks">OFFSET(Data!$F$2,,,COUNTA(Data!$F:$F)-1)</definedName>
    <definedName name="list_risk_categories">OFFSET(Data!$H$2,,,COUNTA(Data!$H:$H)-1)</definedName>
    <definedName name="list_roles">OFFSET(Data!$L$2,,,COUNTA(Data!$L:$L)-1)</definedName>
    <definedName name="list_sa_phases">OFFSET(Data!$E$2,,,COUNTA(Data!$E:$E)-1)</definedName>
    <definedName name="list_scope_count">OFFSET(Data!$I$2,,,COUNTA(Data!$I:$I)-1)</definedName>
    <definedName name="list_story_types">OFFSET(Data!$G$2,,,COUNTA(Data!$G:$G)-1)</definedName>
    <definedName name="list_titles">OFFSET(Data!$M$2,,,COUNTA(Data!$M:$M)-1)</definedName>
    <definedName name="list_titles_delivery">OFFSET(list_titles,1,,MATCH("## Sapient Internal ##", list_titles,0) - 2)</definedName>
    <definedName name="list_titles_non_delivery">list_titles</definedName>
    <definedName name="metrics_component">[1]Metrics!$B$9:$B$9</definedName>
    <definedName name="metrics_lookup_table">Metrics!$B$8:$F$28</definedName>
    <definedName name="project_delivery_select">'Project Overview'!$C$11</definedName>
    <definedName name="project_headline">'Project Overview'!$C$3</definedName>
    <definedName name="project_name">'Project Overview'!$C$7</definedName>
    <definedName name="project_phase">'Project Overview'!$C$9</definedName>
    <definedName name="project_pid">'Project Overview'!$C$8</definedName>
    <definedName name="project_tracks_list_column">'Project Overview'!$C:$C</definedName>
    <definedName name="project_tracks_starting_row">'Project Overview'!$14:$14</definedName>
    <definedName name="risks_risk_buffer_lookup">'Objective Risks'!$H$11:$H$22</definedName>
    <definedName name="risks_total_loe">'Objective Risks'!$H$8</definedName>
    <definedName name="risks_track_list_lookup">'Objective Risks'!$C$11:$C$22</definedName>
    <definedName name="Roles_Rates">[2]Roles!$B$2:$B$187</definedName>
    <definedName name="staffing_column_after_weeks">'Staffing Plan'!$AY:$AY</definedName>
    <definedName name="staffing_column_before_weeks">'Staffing Plan'!$G:$G</definedName>
    <definedName name="staffing_column_plan_start">'Staffing Plan'!$B:$B</definedName>
    <definedName name="staffing_hidden_template_row">'Staffing Plan'!$16:$16</definedName>
    <definedName name="staffing_planned_net_work_days">'Staffing Plan'!$D$12</definedName>
    <definedName name="staffing_row_after_oversight">'Staffing Plan'!$37:$37</definedName>
    <definedName name="staffing_row_after_team">'Staffing Plan'!$83:$83</definedName>
    <definedName name="staffing_row_before_oversight">'Staffing Plan'!$17:$17</definedName>
    <definedName name="staffing_row_before_team">'Staffing Plan'!$38:$38</definedName>
    <definedName name="staffing_total_loe_lookup">INDIRECT("'Staffing Plan'!"&amp;ADDRESS(CELL("row",staffing_row_before_team)+1,CELL("col",staffing_column_after_weeks))&amp;":"&amp;ADDRESS(CELL("row",staffing_row_after_team)-1,CELL("col",staffing_column_after_weeks)))</definedName>
    <definedName name="staffing_total_loe_oversight">'Staffing Plan'!$AY$37</definedName>
    <definedName name="staffing_total_loe_team">'Staffing Plan'!$AY$83</definedName>
    <definedName name="staffing_total_person_days">'Staffing Plan'!$AY$84</definedName>
    <definedName name="staffing_track_list_lookup">INDIRECT("'Staffing Plan'!"&amp;ADDRESS(CELL("row",staffing_row_before_team)+1,CELL("col",staffing_column_before_weeks))&amp;":"&amp;ADDRESS(CELL("row",staffing_row_after_team)-1,CELL("col",staffing_column_before_weeks)))</definedName>
    <definedName name="stories_buffered_loe_lookup">Stories!$S$14:$S$528</definedName>
    <definedName name="stories_column_abp">Stories!$K:$K</definedName>
    <definedName name="stories_column_category">Stories!$C:$C</definedName>
    <definedName name="stories_column_description">Stories!$G:$G</definedName>
    <definedName name="stories_column_error">Stories!$B:$B</definedName>
    <definedName name="stories_column_hp">Stories!$L:$L</definedName>
    <definedName name="stories_column_in_out">Stories!$I:$I</definedName>
    <definedName name="stories_column_multiplier">Stories!$M:$M</definedName>
    <definedName name="stories_column_notes">Stories!$T:$T</definedName>
    <definedName name="stories_column_scope_reference">Stories!$H:$H</definedName>
    <definedName name="stories_column_story_name">Stories!$E:$E</definedName>
    <definedName name="stories_column_story_type">Stories!$J:$J</definedName>
    <definedName name="stories_column_track">Stories!$D:$D</definedName>
    <definedName name="stories_entries_range">INDIRECT(ROW(stories_row_before_first_story)+1 &amp; ":" &amp; ROW(stories_row_after_last_story)-1)</definedName>
    <definedName name="stories_row_after_last_story">Stories!$528:$528</definedName>
    <definedName name="stories_row_before_first_story">Stories!$12:$12</definedName>
    <definedName name="stories_total_loe_abp">Stories!$N$9</definedName>
    <definedName name="stories_total_loe_buffered">Stories!$R$9</definedName>
    <definedName name="stories_total_loe_hp">Stories!$P$9</definedName>
    <definedName name="stories_track_list_lookup">Stories!$D$14:$D$528</definedName>
    <definedName name="tasks_metrics_observation_area">'Tasks (Metrics)'!$C:$F</definedName>
    <definedName name="tasks_metrics_template">'Tasks (Metrics)'!$B$7:$G$23</definedName>
    <definedName name="Titles">[3]MetaData!$K:$N</definedName>
    <definedName name="tool_version">Help!$C$3</definedName>
    <definedName name="tool_version_check">Data!$B$1</definedName>
    <definedName name="tool_version_date">Data!$B$3</definedName>
    <definedName name="tool_vox_address">Data!$B$4</definedName>
    <definedName name="tool_vox_address_title">Data!$B$5</definedName>
    <definedName name="total_loe">Data!$B$2</definedName>
    <definedName name="track_loe_header_cell">'Track LOE Summary'!$B$9</definedName>
    <definedName name="tracks">'[4]Project Overview'!$C$12:$C$26</definedName>
  </definedNames>
  <calcPr calcId="191028"/>
  <pivotCaches>
    <pivotCache cacheId="0" r:id="rId2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5" i="10" l="1"/>
  <c r="E65" i="10"/>
  <c r="F1040" i="7"/>
  <c r="E1040" i="7"/>
  <c r="B1040" i="7"/>
  <c r="F1039" i="7"/>
  <c r="E1039" i="7"/>
  <c r="B1039" i="7"/>
  <c r="F1038" i="7"/>
  <c r="F1037" i="7" s="1"/>
  <c r="E1038" i="7"/>
  <c r="E1037" i="7" s="1"/>
  <c r="E62" i="10"/>
  <c r="F62" i="10"/>
  <c r="E63" i="10"/>
  <c r="F63" i="10"/>
  <c r="E64" i="10"/>
  <c r="F64" i="10"/>
  <c r="E54" i="10"/>
  <c r="F54" i="10"/>
  <c r="E55" i="10"/>
  <c r="F55" i="10"/>
  <c r="E56" i="10"/>
  <c r="F56" i="10"/>
  <c r="E57" i="10"/>
  <c r="F57" i="10"/>
  <c r="E58" i="10"/>
  <c r="F58" i="10"/>
  <c r="E59" i="10"/>
  <c r="F59" i="10"/>
  <c r="E60" i="10"/>
  <c r="F60" i="10"/>
  <c r="E61" i="10"/>
  <c r="F61" i="10"/>
  <c r="F43" i="10"/>
  <c r="E43" i="10"/>
  <c r="E41" i="10"/>
  <c r="F41" i="10"/>
  <c r="E42" i="10"/>
  <c r="F42" i="10"/>
  <c r="E44" i="10"/>
  <c r="F44" i="10"/>
  <c r="E45" i="10"/>
  <c r="F45" i="10"/>
  <c r="E46" i="10"/>
  <c r="F46" i="10"/>
  <c r="E47" i="10"/>
  <c r="F47" i="10"/>
  <c r="E48" i="10"/>
  <c r="F48" i="10"/>
  <c r="E49" i="10"/>
  <c r="F49" i="10"/>
  <c r="E50" i="10"/>
  <c r="F50" i="10"/>
  <c r="E51" i="10"/>
  <c r="F51" i="10"/>
  <c r="E52" i="10"/>
  <c r="F52" i="10"/>
  <c r="E53" i="10"/>
  <c r="F53" i="10"/>
  <c r="F1025" i="7"/>
  <c r="E1025" i="7"/>
  <c r="F1024" i="7"/>
  <c r="E1024" i="7"/>
  <c r="B1024" i="7"/>
  <c r="B1025" i="7" s="1"/>
  <c r="F1023" i="7"/>
  <c r="F1022" i="7" s="1"/>
  <c r="E1023" i="7"/>
  <c r="E1022" i="7" s="1"/>
  <c r="F1010" i="7"/>
  <c r="E1010" i="7"/>
  <c r="F1009" i="7"/>
  <c r="E1009" i="7"/>
  <c r="B1009" i="7"/>
  <c r="B1010" i="7" s="1"/>
  <c r="F1008" i="7"/>
  <c r="F1007" i="7" s="1"/>
  <c r="E1008" i="7"/>
  <c r="E1007" i="7" s="1"/>
  <c r="F995" i="7"/>
  <c r="E995" i="7"/>
  <c r="F994" i="7"/>
  <c r="E994" i="7"/>
  <c r="B994" i="7"/>
  <c r="B995" i="7" s="1"/>
  <c r="F993" i="7"/>
  <c r="E993" i="7"/>
  <c r="E992" i="7" s="1"/>
  <c r="F992" i="7"/>
  <c r="F980" i="7"/>
  <c r="E980" i="7"/>
  <c r="F979" i="7"/>
  <c r="E979" i="7"/>
  <c r="B979" i="7"/>
  <c r="B980" i="7" s="1"/>
  <c r="F978" i="7"/>
  <c r="E978" i="7"/>
  <c r="E977" i="7" s="1"/>
  <c r="F977" i="7"/>
  <c r="F965" i="7"/>
  <c r="E965" i="7"/>
  <c r="F964" i="7"/>
  <c r="E964" i="7"/>
  <c r="B964" i="7"/>
  <c r="B965" i="7" s="1"/>
  <c r="F963" i="7"/>
  <c r="E963" i="7"/>
  <c r="E962" i="7" s="1"/>
  <c r="F962" i="7"/>
  <c r="F950" i="7"/>
  <c r="E950" i="7"/>
  <c r="F949" i="7"/>
  <c r="E949" i="7"/>
  <c r="B949" i="7"/>
  <c r="B950" i="7" s="1"/>
  <c r="F948" i="7"/>
  <c r="F947" i="7" s="1"/>
  <c r="E948" i="7"/>
  <c r="E947" i="7" s="1"/>
  <c r="F935" i="7"/>
  <c r="E935" i="7"/>
  <c r="F934" i="7"/>
  <c r="E934" i="7"/>
  <c r="B934" i="7"/>
  <c r="B935" i="7" s="1"/>
  <c r="F933" i="7"/>
  <c r="F932" i="7" s="1"/>
  <c r="E933" i="7"/>
  <c r="E932" i="7" s="1"/>
  <c r="F920" i="7"/>
  <c r="E920" i="7"/>
  <c r="F919" i="7"/>
  <c r="E919" i="7"/>
  <c r="B919" i="7"/>
  <c r="B920" i="7" s="1"/>
  <c r="F918" i="7"/>
  <c r="F917" i="7" s="1"/>
  <c r="E918" i="7"/>
  <c r="E917" i="7" s="1"/>
  <c r="F905" i="7"/>
  <c r="E905" i="7"/>
  <c r="F904" i="7"/>
  <c r="E904" i="7"/>
  <c r="B904" i="7"/>
  <c r="B905" i="7" s="1"/>
  <c r="F903" i="7"/>
  <c r="F902" i="7" s="1"/>
  <c r="E903" i="7"/>
  <c r="E902" i="7" s="1"/>
  <c r="F890" i="7"/>
  <c r="E890" i="7"/>
  <c r="F889" i="7"/>
  <c r="E889" i="7"/>
  <c r="B889" i="7"/>
  <c r="B890" i="7" s="1"/>
  <c r="F888" i="7"/>
  <c r="F887" i="7" s="1"/>
  <c r="E888" i="7"/>
  <c r="E887" i="7" s="1"/>
  <c r="F875" i="7"/>
  <c r="E875" i="7"/>
  <c r="F874" i="7"/>
  <c r="E874" i="7"/>
  <c r="B874" i="7"/>
  <c r="B875" i="7" s="1"/>
  <c r="F873" i="7"/>
  <c r="F872" i="7" s="1"/>
  <c r="E873" i="7"/>
  <c r="E872" i="7" s="1"/>
  <c r="F721" i="7"/>
  <c r="E721" i="7"/>
  <c r="F720" i="7"/>
  <c r="E720" i="7"/>
  <c r="F719" i="7"/>
  <c r="E719" i="7"/>
  <c r="F718" i="7"/>
  <c r="E718" i="7"/>
  <c r="F717" i="7"/>
  <c r="E717" i="7"/>
  <c r="B717" i="7"/>
  <c r="B719" i="7" s="1"/>
  <c r="F716" i="7"/>
  <c r="F715" i="7" s="1"/>
  <c r="E716" i="7"/>
  <c r="E715" i="7" s="1"/>
  <c r="F70" i="7"/>
  <c r="E70" i="7"/>
  <c r="F69" i="7"/>
  <c r="E69" i="7"/>
  <c r="F68" i="7"/>
  <c r="E68" i="7"/>
  <c r="B68" i="7"/>
  <c r="B69" i="7" s="1"/>
  <c r="F67" i="7"/>
  <c r="E67" i="7"/>
  <c r="F65" i="7"/>
  <c r="E65" i="7"/>
  <c r="F63" i="7"/>
  <c r="F62" i="7" s="1"/>
  <c r="E63" i="7"/>
  <c r="E62" i="7" s="1"/>
  <c r="F52" i="7"/>
  <c r="E52" i="7"/>
  <c r="F51" i="7"/>
  <c r="E51" i="7"/>
  <c r="F50" i="7"/>
  <c r="E50" i="7"/>
  <c r="B50" i="7"/>
  <c r="B51" i="7" s="1"/>
  <c r="F49" i="7"/>
  <c r="E49" i="7"/>
  <c r="F47" i="7"/>
  <c r="E47" i="7"/>
  <c r="F45" i="7"/>
  <c r="F44" i="7" s="1"/>
  <c r="E45" i="7"/>
  <c r="E44" i="7" s="1"/>
  <c r="F34" i="7"/>
  <c r="F33" i="7"/>
  <c r="F32" i="7"/>
  <c r="B32" i="7"/>
  <c r="B33" i="7" s="1"/>
  <c r="F31" i="7"/>
  <c r="F29" i="7"/>
  <c r="F27" i="7"/>
  <c r="F26" i="7" s="1"/>
  <c r="E26" i="7"/>
  <c r="E9" i="10" s="1"/>
  <c r="F860" i="7"/>
  <c r="E860" i="7"/>
  <c r="F859" i="7"/>
  <c r="E859" i="7"/>
  <c r="B859" i="7"/>
  <c r="F858" i="7"/>
  <c r="F857" i="7" s="1"/>
  <c r="E858" i="7"/>
  <c r="E857" i="7" s="1"/>
  <c r="F845" i="7"/>
  <c r="E845" i="7"/>
  <c r="F844" i="7"/>
  <c r="E844" i="7"/>
  <c r="F843" i="7"/>
  <c r="E843" i="7"/>
  <c r="B843" i="7"/>
  <c r="B845" i="7" s="1"/>
  <c r="F842" i="7"/>
  <c r="F841" i="7" s="1"/>
  <c r="E842" i="7"/>
  <c r="E841" i="7" s="1"/>
  <c r="F829" i="7"/>
  <c r="E829" i="7"/>
  <c r="F828" i="7"/>
  <c r="E828" i="7"/>
  <c r="F827" i="7"/>
  <c r="E827" i="7"/>
  <c r="F826" i="7"/>
  <c r="E826" i="7"/>
  <c r="F825" i="7"/>
  <c r="E825" i="7"/>
  <c r="B825" i="7"/>
  <c r="B827" i="7" s="1"/>
  <c r="F824" i="7"/>
  <c r="F823" i="7" s="1"/>
  <c r="E824" i="7"/>
  <c r="E823" i="7" s="1"/>
  <c r="F811" i="7"/>
  <c r="E811" i="7"/>
  <c r="F810" i="7"/>
  <c r="E810" i="7"/>
  <c r="F809" i="7"/>
  <c r="E809" i="7"/>
  <c r="F808" i="7"/>
  <c r="E808" i="7"/>
  <c r="F807" i="7"/>
  <c r="E807" i="7"/>
  <c r="B807" i="7"/>
  <c r="B809" i="7" s="1"/>
  <c r="F806" i="7"/>
  <c r="F805" i="7" s="1"/>
  <c r="E806" i="7"/>
  <c r="E805" i="7" s="1"/>
  <c r="F793" i="7"/>
  <c r="E793" i="7"/>
  <c r="F792" i="7"/>
  <c r="E792" i="7"/>
  <c r="F791" i="7"/>
  <c r="E791" i="7"/>
  <c r="F790" i="7"/>
  <c r="E790" i="7"/>
  <c r="F789" i="7"/>
  <c r="E789" i="7"/>
  <c r="B789" i="7"/>
  <c r="B791" i="7" s="1"/>
  <c r="F788" i="7"/>
  <c r="F787" i="7" s="1"/>
  <c r="E788" i="7"/>
  <c r="E787" i="7" s="1"/>
  <c r="F775" i="7"/>
  <c r="E775" i="7"/>
  <c r="F774" i="7"/>
  <c r="E774" i="7"/>
  <c r="F773" i="7"/>
  <c r="E773" i="7"/>
  <c r="F772" i="7"/>
  <c r="E772" i="7"/>
  <c r="F771" i="7"/>
  <c r="E771" i="7"/>
  <c r="B771" i="7"/>
  <c r="B773" i="7" s="1"/>
  <c r="F770" i="7"/>
  <c r="F769" i="7" s="1"/>
  <c r="E770" i="7"/>
  <c r="E769" i="7" s="1"/>
  <c r="F757" i="7"/>
  <c r="E757" i="7"/>
  <c r="F756" i="7"/>
  <c r="E756" i="7"/>
  <c r="F755" i="7"/>
  <c r="E755" i="7"/>
  <c r="F754" i="7"/>
  <c r="E754" i="7"/>
  <c r="F753" i="7"/>
  <c r="E753" i="7"/>
  <c r="B753" i="7"/>
  <c r="B755" i="7" s="1"/>
  <c r="F752" i="7"/>
  <c r="F751" i="7" s="1"/>
  <c r="E752" i="7"/>
  <c r="E751" i="7" s="1"/>
  <c r="F739" i="7"/>
  <c r="E739" i="7"/>
  <c r="F738" i="7"/>
  <c r="E738" i="7"/>
  <c r="F737" i="7"/>
  <c r="E737" i="7"/>
  <c r="F736" i="7"/>
  <c r="E736" i="7"/>
  <c r="F735" i="7"/>
  <c r="E735" i="7"/>
  <c r="B735" i="7"/>
  <c r="B737" i="7" s="1"/>
  <c r="F734" i="7"/>
  <c r="F733" i="7" s="1"/>
  <c r="E734" i="7"/>
  <c r="E733" i="7" s="1"/>
  <c r="F703" i="7"/>
  <c r="E703" i="7"/>
  <c r="F702" i="7"/>
  <c r="E702" i="7"/>
  <c r="F701" i="7"/>
  <c r="E701" i="7"/>
  <c r="F700" i="7"/>
  <c r="E700" i="7"/>
  <c r="F699" i="7"/>
  <c r="E699" i="7"/>
  <c r="B699" i="7"/>
  <c r="B701" i="7" s="1"/>
  <c r="F698" i="7"/>
  <c r="F697" i="7" s="1"/>
  <c r="E698" i="7"/>
  <c r="E697" i="7" s="1"/>
  <c r="F685" i="7"/>
  <c r="E685" i="7"/>
  <c r="F684" i="7"/>
  <c r="E684" i="7"/>
  <c r="F683" i="7"/>
  <c r="E683" i="7"/>
  <c r="F682" i="7"/>
  <c r="E682" i="7"/>
  <c r="F681" i="7"/>
  <c r="E681" i="7"/>
  <c r="B681" i="7"/>
  <c r="B683" i="7" s="1"/>
  <c r="F680" i="7"/>
  <c r="F679" i="7" s="1"/>
  <c r="E680" i="7"/>
  <c r="F667" i="7"/>
  <c r="E667" i="7"/>
  <c r="F666" i="7"/>
  <c r="E666" i="7"/>
  <c r="F665" i="7"/>
  <c r="E665" i="7"/>
  <c r="F664" i="7"/>
  <c r="E664" i="7"/>
  <c r="F663" i="7"/>
  <c r="E663" i="7"/>
  <c r="B663" i="7"/>
  <c r="B665" i="7" s="1"/>
  <c r="F662" i="7"/>
  <c r="F661" i="7" s="1"/>
  <c r="E662" i="7"/>
  <c r="E661" i="7" s="1"/>
  <c r="F649" i="7"/>
  <c r="E649" i="7"/>
  <c r="F648" i="7"/>
  <c r="E648" i="7"/>
  <c r="F647" i="7"/>
  <c r="E647" i="7"/>
  <c r="F646" i="7"/>
  <c r="E646" i="7"/>
  <c r="F645" i="7"/>
  <c r="E645" i="7"/>
  <c r="B645" i="7"/>
  <c r="B647" i="7" s="1"/>
  <c r="F644" i="7"/>
  <c r="F643" i="7" s="1"/>
  <c r="E644" i="7"/>
  <c r="E643" i="7" s="1"/>
  <c r="F631" i="7"/>
  <c r="E631" i="7"/>
  <c r="F630" i="7"/>
  <c r="E630" i="7"/>
  <c r="F629" i="7"/>
  <c r="E629" i="7"/>
  <c r="F628" i="7"/>
  <c r="E628" i="7"/>
  <c r="F627" i="7"/>
  <c r="E627" i="7"/>
  <c r="B627" i="7"/>
  <c r="B628" i="7" s="1"/>
  <c r="B630" i="7" s="1"/>
  <c r="B631" i="7" s="1"/>
  <c r="F626" i="7"/>
  <c r="F625" i="7" s="1"/>
  <c r="E626" i="7"/>
  <c r="E625" i="7" s="1"/>
  <c r="F613" i="7"/>
  <c r="E613" i="7"/>
  <c r="F612" i="7"/>
  <c r="E612" i="7"/>
  <c r="F611" i="7"/>
  <c r="E611" i="7"/>
  <c r="F610" i="7"/>
  <c r="E610" i="7"/>
  <c r="F609" i="7"/>
  <c r="E609" i="7"/>
  <c r="B609" i="7"/>
  <c r="B611" i="7" s="1"/>
  <c r="F608" i="7"/>
  <c r="F607" i="7" s="1"/>
  <c r="E608" i="7"/>
  <c r="E607" i="7" s="1"/>
  <c r="F594" i="7"/>
  <c r="E594" i="7"/>
  <c r="F593" i="7"/>
  <c r="E593" i="7"/>
  <c r="F592" i="7"/>
  <c r="E592" i="7"/>
  <c r="F591" i="7"/>
  <c r="E591" i="7"/>
  <c r="B591" i="7"/>
  <c r="B592" i="7" s="1"/>
  <c r="B593" i="7" s="1"/>
  <c r="B594" i="7" s="1"/>
  <c r="F590" i="7"/>
  <c r="F589" i="7" s="1"/>
  <c r="E590" i="7"/>
  <c r="E589" i="7" s="1"/>
  <c r="F576" i="7"/>
  <c r="E576" i="7"/>
  <c r="F575" i="7"/>
  <c r="E575" i="7"/>
  <c r="F574" i="7"/>
  <c r="E574" i="7"/>
  <c r="F573" i="7"/>
  <c r="E573" i="7"/>
  <c r="B573" i="7"/>
  <c r="B574" i="7" s="1"/>
  <c r="B575" i="7" s="1"/>
  <c r="B576" i="7" s="1"/>
  <c r="F572" i="7"/>
  <c r="F571" i="7" s="1"/>
  <c r="E572" i="7"/>
  <c r="E571" i="7" s="1"/>
  <c r="F558" i="7"/>
  <c r="E558" i="7"/>
  <c r="F557" i="7"/>
  <c r="E557" i="7"/>
  <c r="F556" i="7"/>
  <c r="E556" i="7"/>
  <c r="F555" i="7"/>
  <c r="E555" i="7"/>
  <c r="B555" i="7"/>
  <c r="B556" i="7" s="1"/>
  <c r="B557" i="7" s="1"/>
  <c r="B558" i="7" s="1"/>
  <c r="F554" i="7"/>
  <c r="F553" i="7" s="1"/>
  <c r="E554" i="7"/>
  <c r="E553" i="7" s="1"/>
  <c r="F540" i="7"/>
  <c r="E540" i="7"/>
  <c r="F539" i="7"/>
  <c r="E539" i="7"/>
  <c r="F538" i="7"/>
  <c r="E538" i="7"/>
  <c r="F537" i="7"/>
  <c r="E537" i="7"/>
  <c r="B537" i="7"/>
  <c r="B538" i="7" s="1"/>
  <c r="B539" i="7" s="1"/>
  <c r="B540" i="7" s="1"/>
  <c r="F536" i="7"/>
  <c r="F535" i="7" s="1"/>
  <c r="E536" i="7"/>
  <c r="E535" i="7" s="1"/>
  <c r="F522" i="7"/>
  <c r="E522" i="7"/>
  <c r="F521" i="7"/>
  <c r="E521" i="7"/>
  <c r="F520" i="7"/>
  <c r="E520" i="7"/>
  <c r="F519" i="7"/>
  <c r="E519" i="7"/>
  <c r="B519" i="7"/>
  <c r="B520" i="7" s="1"/>
  <c r="B521" i="7" s="1"/>
  <c r="B522" i="7" s="1"/>
  <c r="F518" i="7"/>
  <c r="F517" i="7" s="1"/>
  <c r="E518" i="7"/>
  <c r="E517" i="7" s="1"/>
  <c r="F504" i="7"/>
  <c r="E504" i="7"/>
  <c r="F503" i="7"/>
  <c r="E503" i="7"/>
  <c r="F502" i="7"/>
  <c r="E502" i="7"/>
  <c r="F501" i="7"/>
  <c r="E501" i="7"/>
  <c r="B501" i="7"/>
  <c r="B502" i="7" s="1"/>
  <c r="B503" i="7" s="1"/>
  <c r="B504" i="7" s="1"/>
  <c r="F500" i="7"/>
  <c r="F499" i="7" s="1"/>
  <c r="E500" i="7"/>
  <c r="E499" i="7" s="1"/>
  <c r="F486" i="7"/>
  <c r="E486" i="7"/>
  <c r="F485" i="7"/>
  <c r="E485" i="7"/>
  <c r="F484" i="7"/>
  <c r="E484" i="7"/>
  <c r="F483" i="7"/>
  <c r="E483" i="7"/>
  <c r="B483" i="7"/>
  <c r="B484" i="7" s="1"/>
  <c r="B485" i="7" s="1"/>
  <c r="B486" i="7" s="1"/>
  <c r="F482" i="7"/>
  <c r="F481" i="7" s="1"/>
  <c r="E482" i="7"/>
  <c r="E481" i="7" s="1"/>
  <c r="F468" i="7"/>
  <c r="E468" i="7"/>
  <c r="F467" i="7"/>
  <c r="E467" i="7"/>
  <c r="F466" i="7"/>
  <c r="E466" i="7"/>
  <c r="F465" i="7"/>
  <c r="E465" i="7"/>
  <c r="B465" i="7"/>
  <c r="B466" i="7" s="1"/>
  <c r="B467" i="7" s="1"/>
  <c r="B468" i="7" s="1"/>
  <c r="F464" i="7"/>
  <c r="F462" i="7" s="1"/>
  <c r="E464" i="7"/>
  <c r="E462" i="7" s="1"/>
  <c r="F449" i="7"/>
  <c r="E449" i="7"/>
  <c r="F448" i="7"/>
  <c r="E448" i="7"/>
  <c r="F447" i="7"/>
  <c r="E447" i="7"/>
  <c r="F446" i="7"/>
  <c r="E446" i="7"/>
  <c r="B446" i="7"/>
  <c r="B447" i="7" s="1"/>
  <c r="B448" i="7" s="1"/>
  <c r="B449" i="7" s="1"/>
  <c r="F445" i="7"/>
  <c r="F444" i="7" s="1"/>
  <c r="F31" i="10" s="1"/>
  <c r="E445" i="7"/>
  <c r="E444" i="7" s="1"/>
  <c r="E31" i="10" s="1"/>
  <c r="F214" i="7"/>
  <c r="E214" i="7"/>
  <c r="F213" i="7"/>
  <c r="E213" i="7"/>
  <c r="F212" i="7"/>
  <c r="E212" i="7"/>
  <c r="F211" i="7"/>
  <c r="E211" i="7"/>
  <c r="F210" i="7"/>
  <c r="E210" i="7"/>
  <c r="F209" i="7"/>
  <c r="E209" i="7"/>
  <c r="F208" i="7"/>
  <c r="E208" i="7"/>
  <c r="F207" i="7"/>
  <c r="E207" i="7"/>
  <c r="F206" i="7"/>
  <c r="E206" i="7"/>
  <c r="B206" i="7"/>
  <c r="B207" i="7" s="1"/>
  <c r="B208" i="7" s="1"/>
  <c r="B209" i="7" s="1"/>
  <c r="F205" i="7"/>
  <c r="E205" i="7"/>
  <c r="E124" i="7"/>
  <c r="F124" i="7"/>
  <c r="F173" i="7"/>
  <c r="E173" i="7"/>
  <c r="F172" i="7"/>
  <c r="E172" i="7"/>
  <c r="F171" i="7"/>
  <c r="E171" i="7"/>
  <c r="F170" i="7"/>
  <c r="E170" i="7"/>
  <c r="B170" i="7"/>
  <c r="B171" i="7" s="1"/>
  <c r="B172" i="7" s="1"/>
  <c r="B173" i="7" s="1"/>
  <c r="F169" i="7"/>
  <c r="E169" i="7"/>
  <c r="H17" i="11"/>
  <c r="H16" i="11"/>
  <c r="H15" i="11"/>
  <c r="H14" i="11"/>
  <c r="H13" i="11"/>
  <c r="H12" i="11"/>
  <c r="H11" i="11"/>
  <c r="H10" i="11"/>
  <c r="C38" i="26"/>
  <c r="E38" i="26"/>
  <c r="F38" i="26" s="1"/>
  <c r="K9" i="26"/>
  <c r="K6" i="26"/>
  <c r="K8" i="26"/>
  <c r="K7" i="26"/>
  <c r="L6" i="26"/>
  <c r="L8" i="26"/>
  <c r="L7" i="26"/>
  <c r="D41" i="26"/>
  <c r="C41" i="26"/>
  <c r="E41" i="26" s="1"/>
  <c r="F41" i="26" s="1"/>
  <c r="C40" i="26"/>
  <c r="E40" i="26" s="1"/>
  <c r="F40" i="26" s="1"/>
  <c r="D34" i="26"/>
  <c r="D39" i="26"/>
  <c r="C39" i="26"/>
  <c r="E39" i="26"/>
  <c r="C37" i="26"/>
  <c r="E37" i="26"/>
  <c r="F37" i="26" s="1"/>
  <c r="C36" i="26"/>
  <c r="E36" i="26" s="1"/>
  <c r="Q478" i="13"/>
  <c r="O478" i="13"/>
  <c r="C35" i="26"/>
  <c r="E35" i="26"/>
  <c r="F35" i="26" s="1"/>
  <c r="C34" i="26"/>
  <c r="E34" i="26"/>
  <c r="C33" i="26"/>
  <c r="E33" i="26"/>
  <c r="F33" i="26" s="1"/>
  <c r="C32" i="26"/>
  <c r="E32" i="26" s="1"/>
  <c r="F32" i="26" s="1"/>
  <c r="C31" i="26"/>
  <c r="E31" i="26"/>
  <c r="F31" i="26" s="1"/>
  <c r="C30" i="26"/>
  <c r="E30" i="26" s="1"/>
  <c r="F30" i="26" s="1"/>
  <c r="C29" i="26"/>
  <c r="E29" i="26"/>
  <c r="F29" i="26" s="1"/>
  <c r="Q472" i="13"/>
  <c r="O472" i="13"/>
  <c r="F34" i="26"/>
  <c r="F39" i="26"/>
  <c r="S478" i="13"/>
  <c r="S472" i="13"/>
  <c r="Q527" i="13"/>
  <c r="O527" i="13"/>
  <c r="Q526" i="13"/>
  <c r="O526" i="13"/>
  <c r="S526" i="13"/>
  <c r="S527" i="13"/>
  <c r="O46" i="13"/>
  <c r="Q46" i="13"/>
  <c r="Q456" i="13"/>
  <c r="O456" i="13"/>
  <c r="Q392" i="13"/>
  <c r="O392" i="13"/>
  <c r="O393" i="13"/>
  <c r="Q393" i="13"/>
  <c r="Q389" i="13"/>
  <c r="O389" i="13"/>
  <c r="Q479" i="13"/>
  <c r="O479" i="13"/>
  <c r="Q304" i="13"/>
  <c r="O304" i="13"/>
  <c r="Q306" i="13"/>
  <c r="O306" i="13"/>
  <c r="Q301" i="13"/>
  <c r="O301" i="13"/>
  <c r="Q167" i="13"/>
  <c r="O167" i="13"/>
  <c r="Q140" i="13"/>
  <c r="O140" i="13"/>
  <c r="Q68" i="13"/>
  <c r="O68" i="13"/>
  <c r="Q171" i="13"/>
  <c r="O171" i="13"/>
  <c r="Q170" i="13"/>
  <c r="O170" i="13"/>
  <c r="Q169" i="13"/>
  <c r="O169" i="13"/>
  <c r="Q152" i="13"/>
  <c r="O152" i="13"/>
  <c r="Q161" i="13"/>
  <c r="O161" i="13"/>
  <c r="Q160" i="13"/>
  <c r="O160" i="13"/>
  <c r="Q158" i="13"/>
  <c r="O158" i="13"/>
  <c r="Q163" i="13"/>
  <c r="O163" i="13"/>
  <c r="E279" i="13"/>
  <c r="E278" i="13"/>
  <c r="E277" i="13"/>
  <c r="E276" i="13"/>
  <c r="E275" i="13"/>
  <c r="S171" i="13"/>
  <c r="Q395" i="13"/>
  <c r="O395" i="13"/>
  <c r="Q403" i="13"/>
  <c r="O403" i="13"/>
  <c r="Q402" i="13"/>
  <c r="O402" i="13"/>
  <c r="Q418" i="13"/>
  <c r="O418" i="13"/>
  <c r="Q150" i="13"/>
  <c r="O150" i="13"/>
  <c r="Q189" i="13"/>
  <c r="O189" i="13"/>
  <c r="Q63" i="13"/>
  <c r="O63" i="13"/>
  <c r="Q454" i="13"/>
  <c r="O454" i="13"/>
  <c r="Q39" i="13"/>
  <c r="O39" i="13"/>
  <c r="L457" i="13"/>
  <c r="Q457" i="13" s="1"/>
  <c r="K457" i="13"/>
  <c r="F9" i="10"/>
  <c r="F342" i="7"/>
  <c r="E342" i="7"/>
  <c r="F321" i="7"/>
  <c r="E321" i="7"/>
  <c r="F303" i="7"/>
  <c r="E303" i="7"/>
  <c r="F248" i="7"/>
  <c r="E248" i="7"/>
  <c r="F231" i="7"/>
  <c r="E231" i="7"/>
  <c r="Q498" i="13"/>
  <c r="O498" i="13"/>
  <c r="Q497" i="13"/>
  <c r="O497" i="13"/>
  <c r="S497" i="13" s="1"/>
  <c r="Q496" i="13"/>
  <c r="O496" i="13"/>
  <c r="Q495" i="13"/>
  <c r="O495" i="13"/>
  <c r="S495" i="13"/>
  <c r="Q494" i="13"/>
  <c r="O494" i="13"/>
  <c r="Q493" i="13"/>
  <c r="O493" i="13"/>
  <c r="S493" i="13" s="1"/>
  <c r="Q492" i="13"/>
  <c r="O492" i="13"/>
  <c r="Q491" i="13"/>
  <c r="O491" i="13"/>
  <c r="S491" i="13"/>
  <c r="Q490" i="13"/>
  <c r="O490" i="13"/>
  <c r="Q489" i="13"/>
  <c r="O489" i="13"/>
  <c r="S489" i="13" s="1"/>
  <c r="Q488" i="13"/>
  <c r="O488" i="13"/>
  <c r="Q487" i="13"/>
  <c r="O487" i="13"/>
  <c r="S487" i="13"/>
  <c r="Q486" i="13"/>
  <c r="O486" i="13"/>
  <c r="Q485" i="13"/>
  <c r="O485" i="13"/>
  <c r="S485" i="13" s="1"/>
  <c r="Q484" i="13"/>
  <c r="O484" i="13"/>
  <c r="Q483" i="13"/>
  <c r="O483" i="13"/>
  <c r="S483" i="13"/>
  <c r="Q482" i="13"/>
  <c r="O482" i="13"/>
  <c r="Q481" i="13"/>
  <c r="O481" i="13"/>
  <c r="S481" i="13" s="1"/>
  <c r="Q405" i="13"/>
  <c r="O405" i="13"/>
  <c r="Q404" i="13"/>
  <c r="O404" i="13"/>
  <c r="Q308" i="13"/>
  <c r="O308" i="13"/>
  <c r="Q307" i="13"/>
  <c r="O307" i="13"/>
  <c r="S307" i="13"/>
  <c r="Q305" i="13"/>
  <c r="O305" i="13"/>
  <c r="Q303" i="13"/>
  <c r="O303" i="13"/>
  <c r="S303" i="13" s="1"/>
  <c r="Q302" i="13"/>
  <c r="O302" i="13"/>
  <c r="Q300" i="13"/>
  <c r="O300" i="13"/>
  <c r="S300" i="13"/>
  <c r="F250" i="7"/>
  <c r="E250" i="7"/>
  <c r="F232" i="7"/>
  <c r="E232" i="7"/>
  <c r="F343" i="7"/>
  <c r="E343" i="7"/>
  <c r="F324" i="7"/>
  <c r="E324" i="7"/>
  <c r="O124" i="13"/>
  <c r="Q124" i="13"/>
  <c r="Q47" i="13"/>
  <c r="O47" i="13"/>
  <c r="S47" i="13" s="1"/>
  <c r="Q145" i="13"/>
  <c r="O145" i="13"/>
  <c r="Q144" i="13"/>
  <c r="O144" i="13"/>
  <c r="S144" i="13"/>
  <c r="Q143" i="13"/>
  <c r="O143" i="13"/>
  <c r="Q142" i="13"/>
  <c r="O142" i="13"/>
  <c r="S142" i="13" s="1"/>
  <c r="Q141" i="13"/>
  <c r="O141" i="13"/>
  <c r="Q139" i="13"/>
  <c r="O139" i="13"/>
  <c r="S139" i="13"/>
  <c r="Q64" i="13"/>
  <c r="O64" i="13"/>
  <c r="Q31" i="13"/>
  <c r="O31" i="13"/>
  <c r="Q30" i="13"/>
  <c r="O30" i="13"/>
  <c r="Q88" i="13"/>
  <c r="O88" i="13"/>
  <c r="O89" i="13"/>
  <c r="Q89" i="13"/>
  <c r="Q61" i="13"/>
  <c r="O61" i="13"/>
  <c r="Q45" i="13"/>
  <c r="O45" i="13"/>
  <c r="Q73" i="13"/>
  <c r="O73" i="13"/>
  <c r="Q42" i="13"/>
  <c r="O42" i="13"/>
  <c r="Q48" i="13"/>
  <c r="O48" i="13"/>
  <c r="Q41" i="13"/>
  <c r="O41" i="13"/>
  <c r="Q15" i="13"/>
  <c r="O15" i="13"/>
  <c r="Q471" i="13"/>
  <c r="O471" i="13"/>
  <c r="S471" i="13" s="1"/>
  <c r="Q470" i="13"/>
  <c r="O470" i="13"/>
  <c r="Q469" i="13"/>
  <c r="O469" i="13"/>
  <c r="Q475" i="13"/>
  <c r="O475" i="13"/>
  <c r="Q474" i="13"/>
  <c r="O474" i="13"/>
  <c r="Q480" i="13"/>
  <c r="O480" i="13"/>
  <c r="S480" i="13" s="1"/>
  <c r="Q477" i="13"/>
  <c r="O477" i="13"/>
  <c r="Q417" i="13"/>
  <c r="O417" i="13"/>
  <c r="Q511" i="13"/>
  <c r="O511" i="13"/>
  <c r="Q510" i="13"/>
  <c r="O510" i="13"/>
  <c r="Q509" i="13"/>
  <c r="O509" i="13"/>
  <c r="Q508" i="13"/>
  <c r="O508" i="13"/>
  <c r="Q507" i="13"/>
  <c r="O507" i="13"/>
  <c r="Q506" i="13"/>
  <c r="O506" i="13"/>
  <c r="Q505" i="13"/>
  <c r="O505" i="13"/>
  <c r="Q518" i="13"/>
  <c r="O518" i="13"/>
  <c r="Q517" i="13"/>
  <c r="O517" i="13"/>
  <c r="Q516" i="13"/>
  <c r="O516" i="13"/>
  <c r="Q515" i="13"/>
  <c r="O515" i="13"/>
  <c r="Q514" i="13"/>
  <c r="O514" i="13"/>
  <c r="Q513" i="13"/>
  <c r="O513" i="13"/>
  <c r="Q512" i="13"/>
  <c r="O512" i="13"/>
  <c r="Q524" i="13"/>
  <c r="O524" i="13"/>
  <c r="Q523" i="13"/>
  <c r="O523" i="13"/>
  <c r="Q522" i="13"/>
  <c r="O522" i="13"/>
  <c r="Q521" i="13"/>
  <c r="O521" i="13"/>
  <c r="Q520" i="13"/>
  <c r="O520" i="13"/>
  <c r="Q519" i="13"/>
  <c r="O519" i="13"/>
  <c r="Q453" i="13"/>
  <c r="O453" i="13"/>
  <c r="Q448" i="13"/>
  <c r="O448" i="13"/>
  <c r="Q447" i="13"/>
  <c r="O447" i="13"/>
  <c r="Q446" i="13"/>
  <c r="O446" i="13"/>
  <c r="Q445" i="13"/>
  <c r="O445" i="13"/>
  <c r="Q444" i="13"/>
  <c r="O444" i="13"/>
  <c r="Q443" i="13"/>
  <c r="O443" i="13"/>
  <c r="Q442" i="13"/>
  <c r="O442" i="13"/>
  <c r="Q441" i="13"/>
  <c r="O441" i="13"/>
  <c r="Q440" i="13"/>
  <c r="O440" i="13"/>
  <c r="Q432" i="13"/>
  <c r="O432" i="13"/>
  <c r="O449" i="13"/>
  <c r="Q449" i="13"/>
  <c r="E274" i="13"/>
  <c r="Q172" i="13"/>
  <c r="O172" i="13"/>
  <c r="Q52" i="13"/>
  <c r="O52" i="13"/>
  <c r="Q38" i="13"/>
  <c r="O38" i="13"/>
  <c r="Q37" i="13"/>
  <c r="O37" i="13"/>
  <c r="Q98" i="13"/>
  <c r="O98" i="13"/>
  <c r="Q87" i="13"/>
  <c r="O87" i="13"/>
  <c r="O78" i="13"/>
  <c r="Q78" i="13"/>
  <c r="Q77" i="13"/>
  <c r="O77" i="13"/>
  <c r="Q86" i="13"/>
  <c r="O86" i="13"/>
  <c r="Q81" i="13"/>
  <c r="O81" i="13"/>
  <c r="Q72" i="13"/>
  <c r="O72" i="13"/>
  <c r="Q102" i="13"/>
  <c r="O102" i="13"/>
  <c r="Q85" i="13"/>
  <c r="O85" i="13"/>
  <c r="Q84" i="13"/>
  <c r="O84" i="13"/>
  <c r="Q83" i="13"/>
  <c r="O83" i="13"/>
  <c r="Q82" i="13"/>
  <c r="O82" i="13"/>
  <c r="Q80" i="13"/>
  <c r="O80" i="13"/>
  <c r="Q79" i="13"/>
  <c r="O79" i="13"/>
  <c r="Q76" i="13"/>
  <c r="O76" i="13"/>
  <c r="Q44" i="13"/>
  <c r="O44" i="13"/>
  <c r="Q43" i="13"/>
  <c r="O43" i="13"/>
  <c r="Q71" i="13"/>
  <c r="O71" i="13"/>
  <c r="Q70" i="13"/>
  <c r="O70" i="13"/>
  <c r="Q69" i="13"/>
  <c r="O69" i="13"/>
  <c r="Q67" i="13"/>
  <c r="O67" i="13"/>
  <c r="Q394" i="13"/>
  <c r="O394" i="13"/>
  <c r="E316" i="13"/>
  <c r="O316" i="13"/>
  <c r="Q316" i="13"/>
  <c r="E203" i="13"/>
  <c r="F401" i="7"/>
  <c r="E401" i="7"/>
  <c r="F383" i="7"/>
  <c r="E383" i="7"/>
  <c r="F365" i="7"/>
  <c r="Q401" i="13"/>
  <c r="O401" i="13"/>
  <c r="Q450" i="13"/>
  <c r="O450" i="13"/>
  <c r="Q23" i="13"/>
  <c r="O23" i="13"/>
  <c r="Q299" i="13"/>
  <c r="O299" i="13"/>
  <c r="S299" i="13" s="1"/>
  <c r="Q400" i="13"/>
  <c r="O400" i="13"/>
  <c r="Q155" i="13"/>
  <c r="O155" i="13"/>
  <c r="Q65" i="13"/>
  <c r="O65" i="13"/>
  <c r="Q165" i="13"/>
  <c r="O165" i="13"/>
  <c r="Q62" i="13"/>
  <c r="O62" i="13"/>
  <c r="Q298" i="13"/>
  <c r="O298" i="13"/>
  <c r="Q461" i="13"/>
  <c r="O461" i="13"/>
  <c r="Q460" i="13"/>
  <c r="O460" i="13"/>
  <c r="Q459" i="13"/>
  <c r="O459" i="13"/>
  <c r="Q430" i="13"/>
  <c r="O430" i="13"/>
  <c r="S430" i="13" s="1"/>
  <c r="Q429" i="13"/>
  <c r="O429" i="13"/>
  <c r="Q104" i="13"/>
  <c r="O104" i="13"/>
  <c r="Q103" i="13"/>
  <c r="O103" i="13"/>
  <c r="Q283" i="13"/>
  <c r="O283" i="13"/>
  <c r="S283" i="13" s="1"/>
  <c r="Q284" i="13"/>
  <c r="O284" i="13"/>
  <c r="Q285" i="13"/>
  <c r="O285" i="13"/>
  <c r="Q431" i="13"/>
  <c r="O431" i="13"/>
  <c r="Q433" i="13"/>
  <c r="O433" i="13"/>
  <c r="Q434" i="13"/>
  <c r="O434" i="13"/>
  <c r="Q435" i="13"/>
  <c r="O435" i="13"/>
  <c r="Q436" i="13"/>
  <c r="O436" i="13"/>
  <c r="Q437" i="13"/>
  <c r="O437" i="13"/>
  <c r="Q438" i="13"/>
  <c r="O438" i="13"/>
  <c r="Q439" i="13"/>
  <c r="O439" i="13"/>
  <c r="Q164" i="13"/>
  <c r="O164" i="13"/>
  <c r="Q162" i="13"/>
  <c r="O162" i="13"/>
  <c r="Q159" i="13"/>
  <c r="O159" i="13"/>
  <c r="Q157" i="13"/>
  <c r="O157" i="13"/>
  <c r="Q123" i="13"/>
  <c r="O123" i="13"/>
  <c r="Q156" i="13"/>
  <c r="O156" i="13"/>
  <c r="Q154" i="13"/>
  <c r="O154" i="13"/>
  <c r="Q60" i="13"/>
  <c r="O60" i="13"/>
  <c r="Q59" i="13"/>
  <c r="O59" i="13"/>
  <c r="Q74" i="13"/>
  <c r="O74" i="13"/>
  <c r="Q411" i="13"/>
  <c r="O411" i="13"/>
  <c r="Q408" i="13"/>
  <c r="O408" i="13"/>
  <c r="Q409" i="13"/>
  <c r="O409" i="13"/>
  <c r="Q410" i="13"/>
  <c r="O410" i="13"/>
  <c r="Q425" i="13"/>
  <c r="O425" i="13"/>
  <c r="E386" i="13"/>
  <c r="E385" i="13"/>
  <c r="E384" i="13"/>
  <c r="Q384" i="13"/>
  <c r="O384" i="13"/>
  <c r="Q385" i="13"/>
  <c r="O385" i="13"/>
  <c r="Q386" i="13"/>
  <c r="O386" i="13"/>
  <c r="E273" i="13"/>
  <c r="E272" i="13"/>
  <c r="E271" i="13"/>
  <c r="Q97" i="13"/>
  <c r="O97" i="13"/>
  <c r="Q153" i="13"/>
  <c r="O153" i="13"/>
  <c r="H23" i="11"/>
  <c r="H22" i="11"/>
  <c r="H21" i="11"/>
  <c r="H20" i="11"/>
  <c r="H19" i="11"/>
  <c r="H18" i="11"/>
  <c r="Q99" i="13"/>
  <c r="O99" i="13"/>
  <c r="Q100" i="13"/>
  <c r="O100" i="13"/>
  <c r="Q293" i="13"/>
  <c r="O293" i="13"/>
  <c r="Q412" i="13"/>
  <c r="O412" i="13"/>
  <c r="Q420" i="13"/>
  <c r="O420" i="13"/>
  <c r="Q101" i="13"/>
  <c r="O101" i="13"/>
  <c r="Q422" i="13"/>
  <c r="O422" i="13"/>
  <c r="Q423" i="13"/>
  <c r="O423" i="13"/>
  <c r="Q424" i="13"/>
  <c r="O424" i="13"/>
  <c r="Q426" i="13"/>
  <c r="O426" i="13"/>
  <c r="Q427" i="13"/>
  <c r="O427" i="13"/>
  <c r="Q413" i="13"/>
  <c r="O413" i="13"/>
  <c r="Q421" i="13"/>
  <c r="O421" i="13"/>
  <c r="Q390" i="13"/>
  <c r="O390" i="13"/>
  <c r="Q391" i="13"/>
  <c r="O391" i="13"/>
  <c r="Q187" i="13"/>
  <c r="O187" i="13"/>
  <c r="Q188" i="13"/>
  <c r="O188" i="13"/>
  <c r="Q190" i="13"/>
  <c r="O190" i="13"/>
  <c r="Q191" i="13"/>
  <c r="O191" i="13"/>
  <c r="Q192" i="13"/>
  <c r="O192" i="13"/>
  <c r="Q193" i="13"/>
  <c r="O193" i="13"/>
  <c r="Q194" i="13"/>
  <c r="O194" i="13"/>
  <c r="Q294" i="13"/>
  <c r="O294" i="13"/>
  <c r="Q295" i="13"/>
  <c r="O295" i="13"/>
  <c r="Q296" i="13"/>
  <c r="O296" i="13"/>
  <c r="Q297" i="13"/>
  <c r="O297" i="13"/>
  <c r="E383" i="13"/>
  <c r="E382" i="13"/>
  <c r="E381" i="13"/>
  <c r="E380" i="13"/>
  <c r="E379" i="13"/>
  <c r="E378" i="13"/>
  <c r="E377" i="13"/>
  <c r="E376" i="13"/>
  <c r="E375" i="13"/>
  <c r="E374" i="13"/>
  <c r="E373" i="13"/>
  <c r="E372" i="13"/>
  <c r="E371" i="13"/>
  <c r="E370" i="13"/>
  <c r="E369" i="13"/>
  <c r="E368" i="13"/>
  <c r="E367" i="13"/>
  <c r="E366" i="13"/>
  <c r="E365" i="13"/>
  <c r="E364" i="13"/>
  <c r="E363" i="13"/>
  <c r="E362" i="13"/>
  <c r="E361" i="13"/>
  <c r="E360" i="13"/>
  <c r="E359" i="13"/>
  <c r="E358" i="13"/>
  <c r="E357" i="13"/>
  <c r="E356" i="13"/>
  <c r="E355" i="13"/>
  <c r="E354" i="13"/>
  <c r="E353" i="13"/>
  <c r="E352" i="13"/>
  <c r="E351" i="13"/>
  <c r="E350" i="13"/>
  <c r="E349" i="13"/>
  <c r="E348" i="13"/>
  <c r="E347" i="13"/>
  <c r="E346" i="13"/>
  <c r="E345" i="13"/>
  <c r="E344" i="13"/>
  <c r="E343" i="13"/>
  <c r="E342" i="13"/>
  <c r="E341" i="13"/>
  <c r="E340" i="13"/>
  <c r="E339" i="13"/>
  <c r="E338" i="13"/>
  <c r="E337" i="13"/>
  <c r="E336" i="13"/>
  <c r="E335" i="13"/>
  <c r="E334" i="13"/>
  <c r="E333" i="13"/>
  <c r="E332" i="13"/>
  <c r="E331" i="13"/>
  <c r="E330" i="13"/>
  <c r="E329" i="13"/>
  <c r="E328" i="13"/>
  <c r="E327" i="13"/>
  <c r="E326" i="13"/>
  <c r="E325" i="13"/>
  <c r="E324" i="13"/>
  <c r="E322" i="13"/>
  <c r="E321" i="13"/>
  <c r="E320" i="13"/>
  <c r="E319" i="13"/>
  <c r="E318" i="13"/>
  <c r="E317" i="13"/>
  <c r="E315" i="13"/>
  <c r="E314" i="13"/>
  <c r="E313" i="13"/>
  <c r="E312" i="13"/>
  <c r="E311" i="13"/>
  <c r="E310" i="13"/>
  <c r="E309" i="13"/>
  <c r="Q309" i="13"/>
  <c r="O309" i="13"/>
  <c r="Q310" i="13"/>
  <c r="O310" i="13"/>
  <c r="S310" i="13" s="1"/>
  <c r="Q311" i="13"/>
  <c r="O311" i="13"/>
  <c r="Q312" i="13"/>
  <c r="O312" i="13"/>
  <c r="Q313" i="13"/>
  <c r="O313" i="13"/>
  <c r="Q314" i="13"/>
  <c r="O314" i="13"/>
  <c r="Q315" i="13"/>
  <c r="O315" i="13"/>
  <c r="Q317" i="13"/>
  <c r="O317" i="13"/>
  <c r="Q318" i="13"/>
  <c r="O318" i="13"/>
  <c r="Q319" i="13"/>
  <c r="O319" i="13"/>
  <c r="Q320" i="13"/>
  <c r="O320" i="13"/>
  <c r="Q321" i="13"/>
  <c r="O321" i="13"/>
  <c r="Q322" i="13"/>
  <c r="O322" i="13"/>
  <c r="Q323" i="13"/>
  <c r="O323" i="13"/>
  <c r="Q324" i="13"/>
  <c r="O324" i="13"/>
  <c r="Q325" i="13"/>
  <c r="O325" i="13"/>
  <c r="Q326" i="13"/>
  <c r="O326" i="13"/>
  <c r="Q327" i="13"/>
  <c r="O327" i="13"/>
  <c r="S327" i="13" s="1"/>
  <c r="Q328" i="13"/>
  <c r="O328" i="13"/>
  <c r="Q329" i="13"/>
  <c r="O329" i="13"/>
  <c r="Q330" i="13"/>
  <c r="O330" i="13"/>
  <c r="Q331" i="13"/>
  <c r="O331" i="13"/>
  <c r="Q332" i="13"/>
  <c r="O332" i="13"/>
  <c r="Q333" i="13"/>
  <c r="O333" i="13"/>
  <c r="Q334" i="13"/>
  <c r="O334" i="13"/>
  <c r="Q335" i="13"/>
  <c r="O335" i="13"/>
  <c r="S335" i="13" s="1"/>
  <c r="Q336" i="13"/>
  <c r="O336" i="13"/>
  <c r="Q337" i="13"/>
  <c r="O337" i="13"/>
  <c r="Q338" i="13"/>
  <c r="O338" i="13"/>
  <c r="E209" i="13"/>
  <c r="E208" i="13"/>
  <c r="E207" i="13"/>
  <c r="E206" i="13"/>
  <c r="E205" i="13"/>
  <c r="E204" i="13"/>
  <c r="E202" i="13"/>
  <c r="E201" i="13"/>
  <c r="E200" i="13"/>
  <c r="E199" i="13"/>
  <c r="E198" i="13"/>
  <c r="E197" i="13"/>
  <c r="E196" i="13"/>
  <c r="Q339" i="13"/>
  <c r="O339" i="13"/>
  <c r="Q340" i="13"/>
  <c r="O340" i="13"/>
  <c r="Q341" i="13"/>
  <c r="O341" i="13"/>
  <c r="Q342" i="13"/>
  <c r="O342" i="13"/>
  <c r="Q343" i="13"/>
  <c r="O343" i="13"/>
  <c r="S343" i="13" s="1"/>
  <c r="Q344" i="13"/>
  <c r="O344" i="13"/>
  <c r="Q345" i="13"/>
  <c r="O345" i="13"/>
  <c r="Q346" i="13"/>
  <c r="O346" i="13"/>
  <c r="Q347" i="13"/>
  <c r="O347" i="13"/>
  <c r="Q348" i="13"/>
  <c r="O348" i="13"/>
  <c r="Q349" i="13"/>
  <c r="O349" i="13"/>
  <c r="Q350" i="13"/>
  <c r="O350" i="13"/>
  <c r="Q351" i="13"/>
  <c r="O351" i="13"/>
  <c r="S351" i="13"/>
  <c r="Q352" i="13"/>
  <c r="O352" i="13"/>
  <c r="Q353" i="13"/>
  <c r="O353" i="13"/>
  <c r="Q354" i="13"/>
  <c r="O354" i="13"/>
  <c r="Q355" i="13"/>
  <c r="O355" i="13"/>
  <c r="Q356" i="13"/>
  <c r="O356" i="13"/>
  <c r="Q357" i="13"/>
  <c r="O357" i="13"/>
  <c r="Q358" i="13"/>
  <c r="O358" i="13"/>
  <c r="Q359" i="13"/>
  <c r="O359" i="13"/>
  <c r="S359" i="13" s="1"/>
  <c r="Q360" i="13"/>
  <c r="O360" i="13"/>
  <c r="Q361" i="13"/>
  <c r="O361" i="13"/>
  <c r="Q362" i="13"/>
  <c r="O362" i="13"/>
  <c r="Q363" i="13"/>
  <c r="O363" i="13"/>
  <c r="Q379" i="13"/>
  <c r="O379" i="13"/>
  <c r="S379" i="13"/>
  <c r="Q378" i="13"/>
  <c r="O378" i="13"/>
  <c r="Q377" i="13"/>
  <c r="O377" i="13"/>
  <c r="Q376" i="13"/>
  <c r="O376" i="13"/>
  <c r="S376" i="13" s="1"/>
  <c r="Q375" i="13"/>
  <c r="O375" i="13"/>
  <c r="Q374" i="13"/>
  <c r="O374" i="13"/>
  <c r="S374" i="13"/>
  <c r="Q373" i="13"/>
  <c r="O373" i="13"/>
  <c r="Q372" i="13"/>
  <c r="O372" i="13"/>
  <c r="Q371" i="13"/>
  <c r="O371" i="13"/>
  <c r="Q370" i="13"/>
  <c r="O370" i="13"/>
  <c r="Q369" i="13"/>
  <c r="O369" i="13"/>
  <c r="Q368" i="13"/>
  <c r="O368" i="13"/>
  <c r="Q367" i="13"/>
  <c r="O367" i="13"/>
  <c r="Q366" i="13"/>
  <c r="O366" i="13"/>
  <c r="Q365" i="13"/>
  <c r="O365" i="13"/>
  <c r="Q364" i="13"/>
  <c r="O364" i="13"/>
  <c r="S364" i="13" s="1"/>
  <c r="E270" i="13"/>
  <c r="E269" i="13"/>
  <c r="E268" i="13"/>
  <c r="E267" i="13"/>
  <c r="E266" i="13"/>
  <c r="E265" i="13"/>
  <c r="E264" i="13"/>
  <c r="E263" i="13"/>
  <c r="E262" i="13"/>
  <c r="E261" i="13"/>
  <c r="E260" i="13"/>
  <c r="E259" i="13"/>
  <c r="E258" i="13"/>
  <c r="E257" i="13"/>
  <c r="E256" i="13"/>
  <c r="E255" i="13"/>
  <c r="E254" i="13"/>
  <c r="E253" i="13"/>
  <c r="E252" i="13"/>
  <c r="E251" i="13"/>
  <c r="E250" i="13"/>
  <c r="E249" i="13"/>
  <c r="E248" i="13"/>
  <c r="E247" i="13"/>
  <c r="E246" i="13"/>
  <c r="E245" i="13"/>
  <c r="E244" i="13"/>
  <c r="E243" i="13"/>
  <c r="E242" i="13"/>
  <c r="E241" i="13"/>
  <c r="E240" i="13"/>
  <c r="E239" i="13"/>
  <c r="E238" i="13"/>
  <c r="E237" i="13"/>
  <c r="E236" i="13"/>
  <c r="E235" i="13"/>
  <c r="E234" i="13"/>
  <c r="E233" i="13"/>
  <c r="E232" i="13"/>
  <c r="E231" i="13"/>
  <c r="E230" i="13"/>
  <c r="E229" i="13"/>
  <c r="E228" i="13"/>
  <c r="E227" i="13"/>
  <c r="E226" i="13"/>
  <c r="E225" i="13"/>
  <c r="E224" i="13"/>
  <c r="E223" i="13"/>
  <c r="E222" i="13"/>
  <c r="E221" i="13"/>
  <c r="E220" i="13"/>
  <c r="E219" i="13"/>
  <c r="E218" i="13"/>
  <c r="E217" i="13"/>
  <c r="E216" i="13"/>
  <c r="E215" i="13"/>
  <c r="E214" i="13"/>
  <c r="E213" i="13"/>
  <c r="E212" i="13"/>
  <c r="E211" i="13"/>
  <c r="Q130" i="13"/>
  <c r="O130" i="13"/>
  <c r="Q57" i="13"/>
  <c r="O57" i="13"/>
  <c r="S57" i="13"/>
  <c r="Q56" i="13"/>
  <c r="O56" i="13"/>
  <c r="Q55" i="13"/>
  <c r="O55" i="13"/>
  <c r="Q54" i="13"/>
  <c r="O54" i="13"/>
  <c r="Q53" i="13"/>
  <c r="O53" i="13"/>
  <c r="Q51" i="13"/>
  <c r="O51" i="13"/>
  <c r="Q50" i="13"/>
  <c r="O50" i="13"/>
  <c r="Q49" i="13"/>
  <c r="O49" i="13"/>
  <c r="Q58" i="13"/>
  <c r="O58" i="13"/>
  <c r="Q138" i="13"/>
  <c r="O138" i="13"/>
  <c r="Q132" i="13"/>
  <c r="O132" i="13"/>
  <c r="S132" i="13" s="1"/>
  <c r="Q133" i="13"/>
  <c r="O133" i="13"/>
  <c r="Q134" i="13"/>
  <c r="O134" i="13"/>
  <c r="Q135" i="13"/>
  <c r="O135" i="13"/>
  <c r="Q136" i="13"/>
  <c r="O136" i="13"/>
  <c r="Q137" i="13"/>
  <c r="O137" i="13"/>
  <c r="Q428" i="13"/>
  <c r="O428" i="13"/>
  <c r="Q451" i="13"/>
  <c r="O451" i="13"/>
  <c r="Q452" i="13"/>
  <c r="O452" i="13"/>
  <c r="S452" i="13" s="1"/>
  <c r="Q406" i="13"/>
  <c r="O406" i="13"/>
  <c r="Q407" i="13"/>
  <c r="S407" i="13"/>
  <c r="Q414" i="13"/>
  <c r="O414" i="13"/>
  <c r="S414" i="13" s="1"/>
  <c r="Q415" i="13"/>
  <c r="O415" i="13"/>
  <c r="Q416" i="13"/>
  <c r="O416" i="13"/>
  <c r="S416" i="13"/>
  <c r="Q419" i="13"/>
  <c r="O419" i="13"/>
  <c r="Q455" i="13"/>
  <c r="O455" i="13"/>
  <c r="S455" i="13" s="1"/>
  <c r="O457" i="13"/>
  <c r="Q398" i="13"/>
  <c r="O398" i="13"/>
  <c r="Q399" i="13"/>
  <c r="O399" i="13"/>
  <c r="S319" i="13"/>
  <c r="C37" i="20"/>
  <c r="C36" i="20"/>
  <c r="C35" i="20"/>
  <c r="C34" i="20"/>
  <c r="C33" i="20"/>
  <c r="C32" i="20"/>
  <c r="C31" i="20"/>
  <c r="C30" i="20"/>
  <c r="C29" i="20"/>
  <c r="C28" i="20"/>
  <c r="C27" i="20"/>
  <c r="C26" i="20"/>
  <c r="C25" i="20"/>
  <c r="H5" i="20"/>
  <c r="H4" i="20"/>
  <c r="H3" i="20"/>
  <c r="H2" i="20"/>
  <c r="B3" i="4"/>
  <c r="E20" i="15"/>
  <c r="D20" i="15"/>
  <c r="E19" i="15"/>
  <c r="D19" i="15"/>
  <c r="E18" i="15"/>
  <c r="D18" i="15"/>
  <c r="D17" i="15"/>
  <c r="E16" i="15"/>
  <c r="D16" i="15"/>
  <c r="E15" i="15"/>
  <c r="D15" i="15"/>
  <c r="D14" i="15"/>
  <c r="D13" i="15"/>
  <c r="H15" i="17"/>
  <c r="I15" i="17" s="1"/>
  <c r="J15" i="17" s="1"/>
  <c r="K15" i="17" s="1"/>
  <c r="L15" i="17" s="1"/>
  <c r="M15" i="17" s="1"/>
  <c r="N15" i="17" s="1"/>
  <c r="O15" i="17" s="1"/>
  <c r="P15" i="17" s="1"/>
  <c r="Q15" i="17" s="1"/>
  <c r="R15" i="17" s="1"/>
  <c r="S15" i="17" s="1"/>
  <c r="T15" i="17" s="1"/>
  <c r="U15" i="17" s="1"/>
  <c r="V15" i="17" s="1"/>
  <c r="W15" i="17" s="1"/>
  <c r="X15" i="17" s="1"/>
  <c r="Y15" i="17" s="1"/>
  <c r="Z15" i="17" s="1"/>
  <c r="AA15" i="17" s="1"/>
  <c r="AB15" i="17" s="1"/>
  <c r="AC15" i="17" s="1"/>
  <c r="AD15" i="17" s="1"/>
  <c r="AE15" i="17" s="1"/>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I14" i="17"/>
  <c r="J14" i="17"/>
  <c r="K14" i="17" s="1"/>
  <c r="L14" i="17"/>
  <c r="M14" i="17" s="1"/>
  <c r="N14" i="17" s="1"/>
  <c r="O14" i="17" s="1"/>
  <c r="P14" i="17" s="1"/>
  <c r="Q14" i="17" s="1"/>
  <c r="R14" i="17" s="1"/>
  <c r="S14" i="17" s="1"/>
  <c r="T14" i="17" s="1"/>
  <c r="U14" i="17" s="1"/>
  <c r="V14" i="17" s="1"/>
  <c r="W14" i="17" s="1"/>
  <c r="X14" i="17" s="1"/>
  <c r="Y14" i="17" s="1"/>
  <c r="Z14" i="17" s="1"/>
  <c r="AA14" i="17" s="1"/>
  <c r="AB14" i="17" s="1"/>
  <c r="AC14" i="17" s="1"/>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D12" i="17"/>
  <c r="D11" i="17"/>
  <c r="E10" i="17"/>
  <c r="E9" i="17"/>
  <c r="H21" i="12"/>
  <c r="H20" i="12"/>
  <c r="H19" i="12"/>
  <c r="H18" i="12"/>
  <c r="H17" i="12"/>
  <c r="H16" i="12"/>
  <c r="H15" i="12"/>
  <c r="H14" i="12"/>
  <c r="E14" i="15"/>
  <c r="H13" i="12"/>
  <c r="E12" i="15" s="1"/>
  <c r="H12" i="12"/>
  <c r="E17" i="15"/>
  <c r="H11" i="12"/>
  <c r="H8" i="12" s="1"/>
  <c r="E11" i="15"/>
  <c r="G8" i="12"/>
  <c r="H34" i="11"/>
  <c r="H33" i="11"/>
  <c r="H32" i="11"/>
  <c r="H31" i="11"/>
  <c r="H30" i="11"/>
  <c r="H29" i="11"/>
  <c r="H28" i="11"/>
  <c r="H27" i="11"/>
  <c r="H26" i="11"/>
  <c r="H25" i="11"/>
  <c r="H24" i="11"/>
  <c r="D12" i="15"/>
  <c r="D11" i="15"/>
  <c r="D10" i="15"/>
  <c r="Q525" i="13"/>
  <c r="O525" i="13"/>
  <c r="Q504" i="13"/>
  <c r="O504" i="13"/>
  <c r="Q503" i="13"/>
  <c r="O503" i="13"/>
  <c r="Q502" i="13"/>
  <c r="O502" i="13"/>
  <c r="Q501" i="13"/>
  <c r="O501" i="13"/>
  <c r="Q500" i="13"/>
  <c r="O500" i="13"/>
  <c r="Q499" i="13"/>
  <c r="O499" i="13"/>
  <c r="Q476" i="13"/>
  <c r="O476" i="13"/>
  <c r="Q462" i="13"/>
  <c r="O462" i="13"/>
  <c r="S462" i="13"/>
  <c r="Q458" i="13"/>
  <c r="O458" i="13"/>
  <c r="Q473" i="13"/>
  <c r="O473" i="13"/>
  <c r="Q468" i="13"/>
  <c r="O468" i="13"/>
  <c r="Q467" i="13"/>
  <c r="O467" i="13"/>
  <c r="Q466" i="13"/>
  <c r="O466" i="13"/>
  <c r="Q465" i="13"/>
  <c r="O465" i="13"/>
  <c r="S465" i="13" s="1"/>
  <c r="Q464" i="13"/>
  <c r="O464" i="13"/>
  <c r="Q463" i="13"/>
  <c r="O463" i="13"/>
  <c r="S463" i="13"/>
  <c r="Q397" i="13"/>
  <c r="O397" i="13"/>
  <c r="Q396" i="13"/>
  <c r="O396" i="13"/>
  <c r="S396" i="13" s="1"/>
  <c r="Q383" i="13"/>
  <c r="O383" i="13"/>
  <c r="Q382" i="13"/>
  <c r="O382" i="13"/>
  <c r="S382" i="13"/>
  <c r="Q381" i="13"/>
  <c r="O381" i="13"/>
  <c r="Q380" i="13"/>
  <c r="O380" i="13"/>
  <c r="S380" i="13" s="1"/>
  <c r="Q210" i="13"/>
  <c r="O210" i="13"/>
  <c r="Q195" i="13"/>
  <c r="O195" i="13"/>
  <c r="S195" i="13"/>
  <c r="Q168" i="13"/>
  <c r="O168" i="13"/>
  <c r="Q166" i="13"/>
  <c r="O166" i="13"/>
  <c r="S166" i="13" s="1"/>
  <c r="Q151" i="13"/>
  <c r="O151" i="13"/>
  <c r="Q388" i="13"/>
  <c r="O388" i="13"/>
  <c r="S388" i="13"/>
  <c r="Q387" i="13"/>
  <c r="O387" i="13"/>
  <c r="Q147" i="13"/>
  <c r="O147" i="13"/>
  <c r="S147" i="13" s="1"/>
  <c r="Q32" i="13"/>
  <c r="O32" i="13"/>
  <c r="Q146" i="13"/>
  <c r="O146" i="13"/>
  <c r="S146" i="13"/>
  <c r="Q131" i="13"/>
  <c r="O131" i="13"/>
  <c r="Q129" i="13"/>
  <c r="O129" i="13"/>
  <c r="S129" i="13" s="1"/>
  <c r="Q105" i="13"/>
  <c r="O105" i="13"/>
  <c r="Q34" i="13"/>
  <c r="O34" i="13"/>
  <c r="S34" i="13"/>
  <c r="Q40" i="13"/>
  <c r="O40" i="13"/>
  <c r="Q36" i="13"/>
  <c r="O36" i="13"/>
  <c r="S36" i="13" s="1"/>
  <c r="Q35" i="13"/>
  <c r="O35" i="13"/>
  <c r="Q33" i="13"/>
  <c r="O33" i="13"/>
  <c r="S33" i="13"/>
  <c r="Q96" i="13"/>
  <c r="O96" i="13"/>
  <c r="Q95" i="13"/>
  <c r="O95" i="13"/>
  <c r="S95" i="13" s="1"/>
  <c r="Q94" i="13"/>
  <c r="O94" i="13"/>
  <c r="Q93" i="13"/>
  <c r="O93" i="13"/>
  <c r="S93" i="13"/>
  <c r="Q92" i="13"/>
  <c r="O92" i="13"/>
  <c r="Q91" i="13"/>
  <c r="O91" i="13"/>
  <c r="S91" i="13" s="1"/>
  <c r="Q90" i="13"/>
  <c r="O90" i="13"/>
  <c r="Q29" i="13"/>
  <c r="O29" i="13"/>
  <c r="S29" i="13"/>
  <c r="Q28" i="13"/>
  <c r="O28" i="13"/>
  <c r="Q27" i="13"/>
  <c r="O27" i="13"/>
  <c r="S27" i="13" s="1"/>
  <c r="Q26" i="13"/>
  <c r="O26" i="13"/>
  <c r="Q25" i="13"/>
  <c r="O25" i="13"/>
  <c r="S25" i="13"/>
  <c r="Q24" i="13"/>
  <c r="O24" i="13"/>
  <c r="Q22" i="13"/>
  <c r="O22" i="13"/>
  <c r="S22" i="13" s="1"/>
  <c r="Q21" i="13"/>
  <c r="O21" i="13"/>
  <c r="Q20" i="13"/>
  <c r="O20" i="13"/>
  <c r="S20" i="13"/>
  <c r="Q75" i="13"/>
  <c r="O75" i="13"/>
  <c r="Q19" i="13"/>
  <c r="O19" i="13"/>
  <c r="S19" i="13" s="1"/>
  <c r="Q66" i="13"/>
  <c r="O66" i="13"/>
  <c r="Q18" i="13"/>
  <c r="O18" i="13"/>
  <c r="S18" i="13"/>
  <c r="Q17" i="13"/>
  <c r="O17" i="13"/>
  <c r="Q16" i="13"/>
  <c r="O16" i="13"/>
  <c r="S16" i="13" s="1"/>
  <c r="Q14" i="13"/>
  <c r="O14" i="13"/>
  <c r="F431" i="7"/>
  <c r="E431" i="7"/>
  <c r="F430" i="7"/>
  <c r="E430" i="7"/>
  <c r="F429" i="7"/>
  <c r="E429" i="7"/>
  <c r="F428" i="7"/>
  <c r="E428" i="7"/>
  <c r="B428" i="7"/>
  <c r="B429" i="7" s="1"/>
  <c r="B430" i="7" s="1"/>
  <c r="B431" i="7" s="1"/>
  <c r="F427" i="7"/>
  <c r="E427" i="7"/>
  <c r="F416" i="7"/>
  <c r="E416" i="7"/>
  <c r="F415" i="7"/>
  <c r="E415" i="7"/>
  <c r="F414" i="7"/>
  <c r="E414" i="7"/>
  <c r="F413" i="7"/>
  <c r="E413" i="7"/>
  <c r="F412" i="7"/>
  <c r="E412" i="7"/>
  <c r="F411" i="7"/>
  <c r="E411" i="7"/>
  <c r="F410" i="7"/>
  <c r="E410" i="7"/>
  <c r="B410" i="7"/>
  <c r="B411" i="7" s="1"/>
  <c r="B412" i="7" s="1"/>
  <c r="B413" i="7" s="1"/>
  <c r="B414" i="7" s="1"/>
  <c r="B415" i="7" s="1"/>
  <c r="B416" i="7" s="1"/>
  <c r="F409" i="7"/>
  <c r="E409" i="7"/>
  <c r="F400" i="7"/>
  <c r="E400" i="7"/>
  <c r="F399" i="7"/>
  <c r="E399" i="7"/>
  <c r="F398" i="7"/>
  <c r="E398" i="7"/>
  <c r="F397" i="7"/>
  <c r="E397" i="7"/>
  <c r="F396" i="7"/>
  <c r="E396" i="7"/>
  <c r="F395" i="7"/>
  <c r="E395" i="7"/>
  <c r="F394" i="7"/>
  <c r="E394" i="7"/>
  <c r="F393" i="7"/>
  <c r="E393" i="7"/>
  <c r="F392" i="7"/>
  <c r="E392" i="7"/>
  <c r="B392" i="7"/>
  <c r="B393" i="7" s="1"/>
  <c r="B394" i="7" s="1"/>
  <c r="B395" i="7" s="1"/>
  <c r="B396" i="7" s="1"/>
  <c r="B397" i="7" s="1"/>
  <c r="B398" i="7" s="1"/>
  <c r="B399" i="7" s="1"/>
  <c r="B400" i="7" s="1"/>
  <c r="F391" i="7"/>
  <c r="E391" i="7"/>
  <c r="F382" i="7"/>
  <c r="E382" i="7"/>
  <c r="F381" i="7"/>
  <c r="E381" i="7"/>
  <c r="F380" i="7"/>
  <c r="E380" i="7"/>
  <c r="F379" i="7"/>
  <c r="E379" i="7"/>
  <c r="F378" i="7"/>
  <c r="E378" i="7"/>
  <c r="F377" i="7"/>
  <c r="E377" i="7"/>
  <c r="F376" i="7"/>
  <c r="E376" i="7"/>
  <c r="F375" i="7"/>
  <c r="E375" i="7"/>
  <c r="F374" i="7"/>
  <c r="E374" i="7"/>
  <c r="B374" i="7"/>
  <c r="B375" i="7" s="1"/>
  <c r="B376" i="7" s="1"/>
  <c r="B377" i="7" s="1"/>
  <c r="B378" i="7" s="1"/>
  <c r="B379" i="7" s="1"/>
  <c r="B380" i="7" s="1"/>
  <c r="B381" i="7" s="1"/>
  <c r="B382" i="7" s="1"/>
  <c r="F373" i="7"/>
  <c r="E373" i="7"/>
  <c r="F364" i="7"/>
  <c r="F363" i="7"/>
  <c r="F362" i="7"/>
  <c r="F361" i="7"/>
  <c r="F360" i="7"/>
  <c r="F359" i="7"/>
  <c r="F358" i="7"/>
  <c r="F357" i="7"/>
  <c r="F356" i="7"/>
  <c r="B356" i="7"/>
  <c r="B357" i="7" s="1"/>
  <c r="B358" i="7" s="1"/>
  <c r="B359" i="7" s="1"/>
  <c r="B360" i="7" s="1"/>
  <c r="B361" i="7" s="1"/>
  <c r="B362" i="7" s="1"/>
  <c r="B363" i="7" s="1"/>
  <c r="B364" i="7" s="1"/>
  <c r="F355" i="7"/>
  <c r="F348" i="7"/>
  <c r="E348" i="7"/>
  <c r="F347" i="7"/>
  <c r="E347" i="7"/>
  <c r="B347" i="7"/>
  <c r="B348" i="7" s="1"/>
  <c r="F346" i="7"/>
  <c r="E346" i="7"/>
  <c r="F345" i="7"/>
  <c r="E345" i="7"/>
  <c r="F344" i="7"/>
  <c r="E344" i="7"/>
  <c r="F341" i="7"/>
  <c r="E341" i="7"/>
  <c r="F340" i="7"/>
  <c r="E340" i="7"/>
  <c r="F339" i="7"/>
  <c r="E339" i="7"/>
  <c r="F338" i="7"/>
  <c r="E338" i="7"/>
  <c r="B337" i="7"/>
  <c r="B338" i="7" s="1"/>
  <c r="B339" i="7" s="1"/>
  <c r="B340" i="7" s="1"/>
  <c r="B341" i="7" s="1"/>
  <c r="F336" i="7"/>
  <c r="E336" i="7"/>
  <c r="F335" i="7"/>
  <c r="E335" i="7"/>
  <c r="F328" i="7"/>
  <c r="E328" i="7"/>
  <c r="F327" i="7"/>
  <c r="E327" i="7"/>
  <c r="F326" i="7"/>
  <c r="E326" i="7"/>
  <c r="F325" i="7"/>
  <c r="E325" i="7"/>
  <c r="F323" i="7"/>
  <c r="E323" i="7"/>
  <c r="F322" i="7"/>
  <c r="E322" i="7"/>
  <c r="F320" i="7"/>
  <c r="E320" i="7"/>
  <c r="F319" i="7"/>
  <c r="E319" i="7"/>
  <c r="F318" i="7"/>
  <c r="E318" i="7"/>
  <c r="B318" i="7"/>
  <c r="B319" i="7" s="1"/>
  <c r="B320" i="7" s="1"/>
  <c r="B322" i="7" s="1"/>
  <c r="B323" i="7" s="1"/>
  <c r="B325" i="7" s="1"/>
  <c r="B326" i="7" s="1"/>
  <c r="B327" i="7" s="1"/>
  <c r="B328" i="7" s="1"/>
  <c r="F317" i="7"/>
  <c r="E317" i="7"/>
  <c r="F309" i="7"/>
  <c r="E309" i="7"/>
  <c r="F308" i="7"/>
  <c r="E308" i="7"/>
  <c r="F307" i="7"/>
  <c r="E307" i="7"/>
  <c r="F306" i="7"/>
  <c r="E306" i="7"/>
  <c r="F305" i="7"/>
  <c r="E305" i="7"/>
  <c r="F304" i="7"/>
  <c r="E304" i="7"/>
  <c r="F302" i="7"/>
  <c r="E302" i="7"/>
  <c r="F301" i="7"/>
  <c r="E301" i="7"/>
  <c r="F300" i="7"/>
  <c r="E300" i="7"/>
  <c r="B300" i="7"/>
  <c r="B301" i="7" s="1"/>
  <c r="B302" i="7" s="1"/>
  <c r="F299" i="7"/>
  <c r="E299" i="7"/>
  <c r="F286" i="7"/>
  <c r="E286" i="7"/>
  <c r="F285" i="7"/>
  <c r="E285" i="7"/>
  <c r="F284" i="7"/>
  <c r="E284" i="7"/>
  <c r="F283" i="7"/>
  <c r="E283" i="7"/>
  <c r="F282" i="7"/>
  <c r="E282" i="7"/>
  <c r="B282" i="7"/>
  <c r="B283" i="7" s="1"/>
  <c r="B285" i="7" s="1"/>
  <c r="B286" i="7" s="1"/>
  <c r="F281" i="7"/>
  <c r="E281" i="7"/>
  <c r="F192" i="7"/>
  <c r="E192" i="7"/>
  <c r="F191" i="7"/>
  <c r="E191" i="7"/>
  <c r="F190" i="7"/>
  <c r="E190" i="7"/>
  <c r="F189" i="7"/>
  <c r="E189" i="7"/>
  <c r="F188" i="7"/>
  <c r="E188" i="7"/>
  <c r="B188" i="7"/>
  <c r="F187" i="7"/>
  <c r="E187" i="7"/>
  <c r="F267" i="7"/>
  <c r="E267" i="7"/>
  <c r="F266" i="7"/>
  <c r="E266" i="7"/>
  <c r="F265" i="7"/>
  <c r="E265" i="7"/>
  <c r="F264" i="7"/>
  <c r="E264" i="7"/>
  <c r="F263" i="7"/>
  <c r="E263" i="7"/>
  <c r="B263" i="7"/>
  <c r="B264" i="7" s="1"/>
  <c r="B266" i="7" s="1"/>
  <c r="B267" i="7" s="1"/>
  <c r="F262" i="7"/>
  <c r="E262" i="7"/>
  <c r="F251" i="7"/>
  <c r="E251" i="7"/>
  <c r="F249" i="7"/>
  <c r="E249" i="7"/>
  <c r="F247" i="7"/>
  <c r="E247" i="7"/>
  <c r="F246" i="7"/>
  <c r="E246" i="7"/>
  <c r="F245" i="7"/>
  <c r="E245" i="7"/>
  <c r="B245" i="7"/>
  <c r="B246" i="7" s="1"/>
  <c r="B247" i="7" s="1"/>
  <c r="F244" i="7"/>
  <c r="E244" i="7"/>
  <c r="F233" i="7"/>
  <c r="E233" i="7"/>
  <c r="F230" i="7"/>
  <c r="E230" i="7"/>
  <c r="F229" i="7"/>
  <c r="E229" i="7"/>
  <c r="F228" i="7"/>
  <c r="E228" i="7"/>
  <c r="F227" i="7"/>
  <c r="E227" i="7"/>
  <c r="B227" i="7"/>
  <c r="B228" i="7" s="1"/>
  <c r="B229" i="7" s="1"/>
  <c r="B230" i="7" s="1"/>
  <c r="F226" i="7"/>
  <c r="E226" i="7"/>
  <c r="F155" i="7"/>
  <c r="E155" i="7"/>
  <c r="F153" i="7"/>
  <c r="E153" i="7"/>
  <c r="F152" i="7"/>
  <c r="E152" i="7"/>
  <c r="F150" i="7"/>
  <c r="E150" i="7"/>
  <c r="B150" i="7"/>
  <c r="B152" i="7" s="1"/>
  <c r="B153" i="7" s="1"/>
  <c r="B155" i="7" s="1"/>
  <c r="F149" i="7"/>
  <c r="E149" i="7"/>
  <c r="F144" i="7"/>
  <c r="E144" i="7"/>
  <c r="F143" i="7"/>
  <c r="E143" i="7"/>
  <c r="F142" i="7"/>
  <c r="E142" i="7"/>
  <c r="F141" i="7"/>
  <c r="E141" i="7"/>
  <c r="F140" i="7"/>
  <c r="E140" i="7"/>
  <c r="F139" i="7"/>
  <c r="E139" i="7"/>
  <c r="F138" i="7"/>
  <c r="E138" i="7"/>
  <c r="F137" i="7"/>
  <c r="E137" i="7"/>
  <c r="B137" i="7"/>
  <c r="B138" i="7" s="1"/>
  <c r="B139" i="7" s="1"/>
  <c r="B140" i="7" s="1"/>
  <c r="B141" i="7" s="1"/>
  <c r="B142" i="7" s="1"/>
  <c r="B143" i="7" s="1"/>
  <c r="B144" i="7" s="1"/>
  <c r="F136" i="7"/>
  <c r="E136" i="7"/>
  <c r="F126" i="7"/>
  <c r="E126" i="7"/>
  <c r="F125" i="7"/>
  <c r="E125" i="7"/>
  <c r="F122" i="7"/>
  <c r="E122" i="7"/>
  <c r="F121" i="7"/>
  <c r="E121" i="7"/>
  <c r="F120" i="7"/>
  <c r="E120" i="7"/>
  <c r="F119" i="7"/>
  <c r="E119" i="7"/>
  <c r="B119" i="7"/>
  <c r="B120" i="7" s="1"/>
  <c r="B121" i="7" s="1"/>
  <c r="B122" i="7" s="1"/>
  <c r="B125" i="7" s="1"/>
  <c r="B126" i="7" s="1"/>
  <c r="F118" i="7"/>
  <c r="E118" i="7"/>
  <c r="F108" i="7"/>
  <c r="E108" i="7"/>
  <c r="F107" i="7"/>
  <c r="E107" i="7"/>
  <c r="F106" i="7"/>
  <c r="E106" i="7"/>
  <c r="F104" i="7"/>
  <c r="E104" i="7"/>
  <c r="F103" i="7"/>
  <c r="E103" i="7"/>
  <c r="F102" i="7"/>
  <c r="E102" i="7"/>
  <c r="F101" i="7"/>
  <c r="E101" i="7"/>
  <c r="B101" i="7"/>
  <c r="B102" i="7" s="1"/>
  <c r="B103" i="7" s="1"/>
  <c r="B104" i="7" s="1"/>
  <c r="B106" i="7" s="1"/>
  <c r="B107" i="7" s="1"/>
  <c r="B108" i="7" s="1"/>
  <c r="F100" i="7"/>
  <c r="E100" i="7"/>
  <c r="F89" i="7"/>
  <c r="E89" i="7"/>
  <c r="F88" i="7"/>
  <c r="E88" i="7"/>
  <c r="F87" i="7"/>
  <c r="E87" i="7"/>
  <c r="F86" i="7"/>
  <c r="E86" i="7"/>
  <c r="B87" i="7"/>
  <c r="B88" i="7" s="1"/>
  <c r="F84" i="7"/>
  <c r="E84" i="7"/>
  <c r="F82" i="7"/>
  <c r="E82" i="7"/>
  <c r="F8" i="7"/>
  <c r="E8" i="7"/>
  <c r="C3" i="6"/>
  <c r="D3" i="18" s="1"/>
  <c r="G5" i="3"/>
  <c r="C3" i="3"/>
  <c r="E10" i="15"/>
  <c r="O149" i="13"/>
  <c r="O148" i="13"/>
  <c r="Q149" i="13"/>
  <c r="Q148" i="13"/>
  <c r="H7" i="11"/>
  <c r="C11" i="18"/>
  <c r="S500" i="13"/>
  <c r="C10" i="15"/>
  <c r="F10" i="15" s="1"/>
  <c r="S15" i="13"/>
  <c r="S48" i="13"/>
  <c r="S73" i="13"/>
  <c r="S61" i="13"/>
  <c r="S88" i="13"/>
  <c r="S137" i="13"/>
  <c r="S135" i="13"/>
  <c r="S133" i="13"/>
  <c r="S138" i="13"/>
  <c r="S49" i="13"/>
  <c r="S51" i="13"/>
  <c r="S54" i="13"/>
  <c r="S56" i="13"/>
  <c r="S130" i="13"/>
  <c r="S365" i="13"/>
  <c r="S367" i="13"/>
  <c r="S369" i="13"/>
  <c r="S371" i="13"/>
  <c r="S373" i="13"/>
  <c r="S375" i="13"/>
  <c r="S377" i="13"/>
  <c r="S362" i="13"/>
  <c r="S360" i="13"/>
  <c r="S358" i="13"/>
  <c r="S356" i="13"/>
  <c r="S354" i="13"/>
  <c r="S352" i="13"/>
  <c r="S350" i="13"/>
  <c r="S297" i="13"/>
  <c r="S295" i="13"/>
  <c r="S194" i="13"/>
  <c r="S192" i="13"/>
  <c r="S190" i="13"/>
  <c r="S187" i="13"/>
  <c r="S348" i="13"/>
  <c r="S52" i="13"/>
  <c r="S521" i="13"/>
  <c r="S476" i="13"/>
  <c r="S502" i="13"/>
  <c r="S504" i="13"/>
  <c r="S346" i="13"/>
  <c r="S344" i="13"/>
  <c r="S342" i="13"/>
  <c r="S340" i="13"/>
  <c r="S332" i="13"/>
  <c r="S326" i="13"/>
  <c r="S318" i="13"/>
  <c r="S309" i="13"/>
  <c r="S159" i="13"/>
  <c r="S164" i="13"/>
  <c r="S438" i="13"/>
  <c r="S436" i="13"/>
  <c r="S434" i="13"/>
  <c r="S431" i="13"/>
  <c r="S284" i="13"/>
  <c r="S103" i="13"/>
  <c r="S429" i="13"/>
  <c r="S461" i="13"/>
  <c r="S400" i="13"/>
  <c r="C14" i="15"/>
  <c r="F14" i="15" s="1"/>
  <c r="S63" i="13"/>
  <c r="S432" i="13"/>
  <c r="S441" i="13"/>
  <c r="S443" i="13"/>
  <c r="S445" i="13"/>
  <c r="S447" i="13"/>
  <c r="S149" i="13"/>
  <c r="S87" i="13"/>
  <c r="S37" i="13"/>
  <c r="S453" i="13"/>
  <c r="S520" i="13"/>
  <c r="S513" i="13"/>
  <c r="S515" i="13"/>
  <c r="S517" i="13"/>
  <c r="S505" i="13"/>
  <c r="S507" i="13"/>
  <c r="S509" i="13"/>
  <c r="S511" i="13"/>
  <c r="S477" i="13"/>
  <c r="S474" i="13"/>
  <c r="S210" i="13"/>
  <c r="S473" i="13"/>
  <c r="S69" i="13"/>
  <c r="S124" i="13"/>
  <c r="S484" i="13"/>
  <c r="S148" i="13"/>
  <c r="S14" i="13"/>
  <c r="S17" i="13"/>
  <c r="S66" i="13"/>
  <c r="S75" i="13"/>
  <c r="S21" i="13"/>
  <c r="S92" i="13"/>
  <c r="S105" i="13"/>
  <c r="S131" i="13"/>
  <c r="S387" i="13"/>
  <c r="S468" i="13"/>
  <c r="S71" i="13"/>
  <c r="S44" i="13"/>
  <c r="S79" i="13"/>
  <c r="S82" i="13"/>
  <c r="S84" i="13"/>
  <c r="S102" i="13"/>
  <c r="S81" i="13"/>
  <c r="S77" i="13"/>
  <c r="S449" i="13"/>
  <c r="S440" i="13"/>
  <c r="S442" i="13"/>
  <c r="S444" i="13"/>
  <c r="S446" i="13"/>
  <c r="S448" i="13"/>
  <c r="S519" i="13"/>
  <c r="S512" i="13"/>
  <c r="S514" i="13"/>
  <c r="S100" i="13"/>
  <c r="S425" i="13"/>
  <c r="S415" i="13"/>
  <c r="S338" i="13"/>
  <c r="S336" i="13"/>
  <c r="S334" i="13"/>
  <c r="S330" i="13"/>
  <c r="S328" i="13"/>
  <c r="S324" i="13"/>
  <c r="S322" i="13"/>
  <c r="S320" i="13"/>
  <c r="S315" i="13"/>
  <c r="S313" i="13"/>
  <c r="S311" i="13"/>
  <c r="S516" i="13"/>
  <c r="S518" i="13"/>
  <c r="S306" i="13"/>
  <c r="S479" i="13"/>
  <c r="S393" i="13"/>
  <c r="S456" i="13"/>
  <c r="S337" i="13"/>
  <c r="S391" i="13"/>
  <c r="S421" i="13"/>
  <c r="S439" i="13"/>
  <c r="S437" i="13"/>
  <c r="S285" i="13"/>
  <c r="S104" i="13"/>
  <c r="S460" i="13"/>
  <c r="S298" i="13"/>
  <c r="S165" i="13"/>
  <c r="S155" i="13"/>
  <c r="S450" i="13"/>
  <c r="S404" i="13"/>
  <c r="S161" i="13"/>
  <c r="S301" i="13"/>
  <c r="S304" i="13"/>
  <c r="S389" i="13"/>
  <c r="S467" i="13"/>
  <c r="S426" i="13"/>
  <c r="S386" i="13"/>
  <c r="S39" i="13"/>
  <c r="S150" i="13"/>
  <c r="S427" i="13"/>
  <c r="S424" i="13"/>
  <c r="S422" i="13"/>
  <c r="S409" i="13"/>
  <c r="S411" i="13"/>
  <c r="S498" i="13"/>
  <c r="S454" i="13"/>
  <c r="S189" i="13"/>
  <c r="S418" i="13"/>
  <c r="S74" i="13"/>
  <c r="S399" i="13"/>
  <c r="S406" i="13"/>
  <c r="S451" i="13"/>
  <c r="S428" i="13"/>
  <c r="S136" i="13"/>
  <c r="S134" i="13"/>
  <c r="S58" i="13"/>
  <c r="S50" i="13"/>
  <c r="S53" i="13"/>
  <c r="S55" i="13"/>
  <c r="S420" i="13"/>
  <c r="S293" i="13"/>
  <c r="S99" i="13"/>
  <c r="S157" i="13"/>
  <c r="S162" i="13"/>
  <c r="S435" i="13"/>
  <c r="S433" i="13"/>
  <c r="S70" i="13"/>
  <c r="S384" i="13"/>
  <c r="S366" i="13"/>
  <c r="S368" i="13"/>
  <c r="S370" i="13"/>
  <c r="S372" i="13"/>
  <c r="S378" i="13"/>
  <c r="S363" i="13"/>
  <c r="S361" i="13"/>
  <c r="S357" i="13"/>
  <c r="S355" i="13"/>
  <c r="S353" i="13"/>
  <c r="S349" i="13"/>
  <c r="S347" i="13"/>
  <c r="S345" i="13"/>
  <c r="S341" i="13"/>
  <c r="S339" i="13"/>
  <c r="S419" i="13"/>
  <c r="S524" i="13"/>
  <c r="S333" i="13"/>
  <c r="S331" i="13"/>
  <c r="S329" i="13"/>
  <c r="S325" i="13"/>
  <c r="S323" i="13"/>
  <c r="S321" i="13"/>
  <c r="S317" i="13"/>
  <c r="S390" i="13"/>
  <c r="S413" i="13"/>
  <c r="S423" i="13"/>
  <c r="S101" i="13"/>
  <c r="S412" i="13"/>
  <c r="S153" i="13"/>
  <c r="S59" i="13"/>
  <c r="S154" i="13"/>
  <c r="S123" i="13"/>
  <c r="S31" i="13"/>
  <c r="S392" i="13"/>
  <c r="S410" i="13"/>
  <c r="S41" i="13"/>
  <c r="S42" i="13"/>
  <c r="S45" i="13"/>
  <c r="S64" i="13"/>
  <c r="S141" i="13"/>
  <c r="S143" i="13"/>
  <c r="S145" i="13"/>
  <c r="S302" i="13"/>
  <c r="S305" i="13"/>
  <c r="S308" i="13"/>
  <c r="S405" i="13"/>
  <c r="S482" i="13"/>
  <c r="S486" i="13"/>
  <c r="S488" i="13"/>
  <c r="S163" i="13"/>
  <c r="S170" i="13"/>
  <c r="S68" i="13"/>
  <c r="S67" i="13"/>
  <c r="S80" i="13"/>
  <c r="S172" i="13"/>
  <c r="S506" i="13"/>
  <c r="S508" i="13"/>
  <c r="S459" i="13"/>
  <c r="S62" i="13"/>
  <c r="S65" i="13"/>
  <c r="S23" i="13"/>
  <c r="S401" i="13"/>
  <c r="S97" i="13"/>
  <c r="S385" i="13"/>
  <c r="S408" i="13"/>
  <c r="S403" i="13"/>
  <c r="S398" i="13"/>
  <c r="C16" i="15"/>
  <c r="F16" i="15" s="1"/>
  <c r="S316" i="13"/>
  <c r="S156" i="13"/>
  <c r="S510" i="13"/>
  <c r="S417" i="13"/>
  <c r="S475" i="13"/>
  <c r="S402" i="13"/>
  <c r="S395" i="13"/>
  <c r="S160" i="13"/>
  <c r="S152" i="13"/>
  <c r="S522" i="13"/>
  <c r="S89" i="13"/>
  <c r="S30" i="13"/>
  <c r="S314" i="13"/>
  <c r="S312" i="13"/>
  <c r="S296" i="13"/>
  <c r="S294" i="13"/>
  <c r="S193" i="13"/>
  <c r="S191" i="13"/>
  <c r="S188" i="13"/>
  <c r="S60" i="13"/>
  <c r="S167" i="13"/>
  <c r="S43" i="13"/>
  <c r="S76" i="13"/>
  <c r="S83" i="13"/>
  <c r="S85" i="13"/>
  <c r="S72" i="13"/>
  <c r="S86" i="13"/>
  <c r="S78" i="13"/>
  <c r="S98" i="13"/>
  <c r="S38" i="13"/>
  <c r="S457" i="13"/>
  <c r="S24" i="13"/>
  <c r="S26" i="13"/>
  <c r="S28" i="13"/>
  <c r="C19" i="15" s="1"/>
  <c r="F19" i="15" s="1"/>
  <c r="S90" i="13"/>
  <c r="S94" i="13"/>
  <c r="S96" i="13"/>
  <c r="S35" i="13"/>
  <c r="S40" i="13"/>
  <c r="S32" i="13"/>
  <c r="S151" i="13"/>
  <c r="S168" i="13"/>
  <c r="S381" i="13"/>
  <c r="S383" i="13"/>
  <c r="S397" i="13"/>
  <c r="S464" i="13"/>
  <c r="S466" i="13"/>
  <c r="S458" i="13"/>
  <c r="S499" i="13"/>
  <c r="S501" i="13"/>
  <c r="S503" i="13"/>
  <c r="S525" i="13"/>
  <c r="S394" i="13"/>
  <c r="S490" i="13"/>
  <c r="S492" i="13"/>
  <c r="S494" i="13"/>
  <c r="S496" i="13"/>
  <c r="S158" i="13"/>
  <c r="S169" i="13"/>
  <c r="S140" i="13"/>
  <c r="S46" i="13"/>
  <c r="C20" i="15"/>
  <c r="F20" i="15" s="1"/>
  <c r="S469" i="13"/>
  <c r="S523" i="13"/>
  <c r="S470" i="13"/>
  <c r="D13" i="18"/>
  <c r="C13" i="18"/>
  <c r="E13" i="18"/>
  <c r="E13" i="15"/>
  <c r="D11" i="18"/>
  <c r="E11" i="18"/>
  <c r="E3" i="13"/>
  <c r="E3" i="17"/>
  <c r="D3" i="10"/>
  <c r="D3" i="11"/>
  <c r="D3" i="7"/>
  <c r="C18" i="15"/>
  <c r="F18" i="15" s="1"/>
  <c r="C17" i="15"/>
  <c r="F17" i="15" s="1"/>
  <c r="C15" i="15"/>
  <c r="F15" i="15" s="1"/>
  <c r="G26" i="26"/>
  <c r="AY78" i="17"/>
  <c r="K37" i="17"/>
  <c r="AA83" i="17"/>
  <c r="AY48" i="17"/>
  <c r="AY65" i="17"/>
  <c r="L37" i="17"/>
  <c r="Z83" i="17"/>
  <c r="AY31" i="17"/>
  <c r="AA37" i="17"/>
  <c r="V83" i="17"/>
  <c r="AY68" i="17"/>
  <c r="AY21" i="17"/>
  <c r="G20" i="15"/>
  <c r="V37" i="17"/>
  <c r="AY50" i="17"/>
  <c r="AW37" i="17"/>
  <c r="AY52" i="17"/>
  <c r="U37" i="17"/>
  <c r="AW83" i="17"/>
  <c r="AY44" i="17"/>
  <c r="AP37" i="17"/>
  <c r="AK83" i="17"/>
  <c r="AU37" i="17"/>
  <c r="AB37" i="17"/>
  <c r="R83" i="17"/>
  <c r="AY62" i="17"/>
  <c r="AY25" i="17"/>
  <c r="G18" i="15"/>
  <c r="L83" i="17"/>
  <c r="R37" i="17"/>
  <c r="W37" i="17"/>
  <c r="AY35" i="17"/>
  <c r="AM83" i="17"/>
  <c r="AY64" i="17"/>
  <c r="AY76" i="17"/>
  <c r="AO37" i="17"/>
  <c r="AY82" i="17"/>
  <c r="AY19" i="17"/>
  <c r="AV37" i="17"/>
  <c r="AI83" i="17"/>
  <c r="AT37" i="17"/>
  <c r="AG83" i="17"/>
  <c r="S37" i="17"/>
  <c r="AY55" i="17"/>
  <c r="AY77" i="17"/>
  <c r="J83" i="17"/>
  <c r="I37" i="17"/>
  <c r="AY34" i="17"/>
  <c r="AK37" i="17"/>
  <c r="AY54" i="17"/>
  <c r="AF37" i="17"/>
  <c r="AY26" i="17"/>
  <c r="AY79" i="17"/>
  <c r="AY46" i="17"/>
  <c r="O83" i="17"/>
  <c r="AY61" i="17"/>
  <c r="AY28" i="17"/>
  <c r="N37" i="17"/>
  <c r="AY73" i="17"/>
  <c r="AX37" i="17"/>
  <c r="AY16" i="17"/>
  <c r="X37" i="17"/>
  <c r="H83" i="17"/>
  <c r="AY29" i="17"/>
  <c r="W83" i="17"/>
  <c r="AY45" i="17"/>
  <c r="AD37" i="17"/>
  <c r="H37" i="17"/>
  <c r="AG37" i="17"/>
  <c r="I83" i="17"/>
  <c r="AJ83" i="17"/>
  <c r="AY53" i="17"/>
  <c r="U83" i="17"/>
  <c r="O37" i="17"/>
  <c r="AL37" i="17"/>
  <c r="AY23" i="17"/>
  <c r="AD83" i="17"/>
  <c r="AY67" i="17"/>
  <c r="AR37" i="17"/>
  <c r="AY57" i="17"/>
  <c r="AY69" i="17"/>
  <c r="AY32" i="17"/>
  <c r="AT83" i="17"/>
  <c r="Z37" i="17"/>
  <c r="AO83" i="17"/>
  <c r="AY81" i="17"/>
  <c r="AY30" i="17"/>
  <c r="G16" i="15"/>
  <c r="AQ37" i="17"/>
  <c r="AV83" i="17"/>
  <c r="AP83" i="17"/>
  <c r="AY36" i="17"/>
  <c r="T37" i="17"/>
  <c r="T83" i="17"/>
  <c r="AY49" i="17"/>
  <c r="M37" i="17"/>
  <c r="AY80" i="17"/>
  <c r="AY75" i="17"/>
  <c r="AL83" i="17"/>
  <c r="AY74" i="17"/>
  <c r="K83" i="17"/>
  <c r="AY20" i="17"/>
  <c r="AY71" i="17"/>
  <c r="J37" i="17"/>
  <c r="AY43" i="17"/>
  <c r="AN83" i="17"/>
  <c r="AY18" i="17"/>
  <c r="AF83" i="17"/>
  <c r="P83" i="17"/>
  <c r="X83" i="17"/>
  <c r="AY24" i="17"/>
  <c r="AC37" i="17"/>
  <c r="AY72" i="17"/>
  <c r="N83" i="17"/>
  <c r="Y37" i="17"/>
  <c r="AY27" i="17"/>
  <c r="AY41" i="17"/>
  <c r="AY51" i="17"/>
  <c r="AE83" i="17"/>
  <c r="AQ83" i="17"/>
  <c r="AY47" i="17"/>
  <c r="AY60" i="17"/>
  <c r="AY39" i="17"/>
  <c r="AY56" i="17"/>
  <c r="AY42" i="17"/>
  <c r="P37" i="17"/>
  <c r="M83" i="17"/>
  <c r="AY22" i="17"/>
  <c r="AY63" i="17"/>
  <c r="AM37" i="17"/>
  <c r="Q83" i="17"/>
  <c r="Y83" i="17"/>
  <c r="AY59" i="17"/>
  <c r="AC83" i="17"/>
  <c r="AJ37" i="17"/>
  <c r="S83" i="17"/>
  <c r="AY40" i="17"/>
  <c r="G19" i="15" s="1"/>
  <c r="AB83" i="17"/>
  <c r="Q37" i="17"/>
  <c r="AH37" i="17"/>
  <c r="AU83" i="17"/>
  <c r="G15" i="15"/>
  <c r="AR83" i="17"/>
  <c r="AY70" i="17"/>
  <c r="AN37" i="17"/>
  <c r="AS37" i="17"/>
  <c r="AH83" i="17"/>
  <c r="AY66" i="17"/>
  <c r="AI37" i="17"/>
  <c r="AE37" i="17"/>
  <c r="AS83" i="17"/>
  <c r="AY33" i="17"/>
  <c r="AX83" i="17"/>
  <c r="AY58" i="17"/>
  <c r="G10" i="15"/>
  <c r="B718" i="7" l="1"/>
  <c r="B720" i="7" s="1"/>
  <c r="B721" i="7" s="1"/>
  <c r="E204" i="7"/>
  <c r="B629" i="7"/>
  <c r="D3" i="15"/>
  <c r="B860" i="7"/>
  <c r="B844" i="7"/>
  <c r="B826" i="7"/>
  <c r="B828" i="7" s="1"/>
  <c r="B829" i="7" s="1"/>
  <c r="B808" i="7"/>
  <c r="B810" i="7" s="1"/>
  <c r="B811" i="7" s="1"/>
  <c r="B790" i="7"/>
  <c r="B792" i="7" s="1"/>
  <c r="B793" i="7" s="1"/>
  <c r="B772" i="7"/>
  <c r="B774" i="7" s="1"/>
  <c r="B775" i="7" s="1"/>
  <c r="B754" i="7"/>
  <c r="B756" i="7" s="1"/>
  <c r="B757" i="7" s="1"/>
  <c r="B736" i="7"/>
  <c r="B738" i="7" s="1"/>
  <c r="B739" i="7" s="1"/>
  <c r="B700" i="7"/>
  <c r="B702" i="7" s="1"/>
  <c r="B703" i="7" s="1"/>
  <c r="B682" i="7"/>
  <c r="B684" i="7" s="1"/>
  <c r="B685" i="7" s="1"/>
  <c r="B664" i="7"/>
  <c r="B666" i="7" s="1"/>
  <c r="B667" i="7" s="1"/>
  <c r="B646" i="7"/>
  <c r="B648" i="7" s="1"/>
  <c r="B649" i="7" s="1"/>
  <c r="B610" i="7"/>
  <c r="B612" i="7" s="1"/>
  <c r="B613" i="7" s="1"/>
  <c r="F204" i="7"/>
  <c r="B212" i="7"/>
  <c r="B213" i="7" s="1"/>
  <c r="B214" i="7" s="1"/>
  <c r="B210" i="7"/>
  <c r="B124" i="7"/>
  <c r="F168" i="7"/>
  <c r="E168" i="7"/>
  <c r="F390" i="7"/>
  <c r="D3" i="12"/>
  <c r="F261" i="7"/>
  <c r="B265" i="7"/>
  <c r="E99" i="7"/>
  <c r="E11" i="10" s="1"/>
  <c r="K175" i="13" s="1"/>
  <c r="O175" i="13" s="1"/>
  <c r="F426" i="7"/>
  <c r="E372" i="7"/>
  <c r="E40" i="10" s="1"/>
  <c r="E186" i="7"/>
  <c r="F316" i="7"/>
  <c r="F37" i="10" s="1"/>
  <c r="F334" i="7"/>
  <c r="F38" i="10" s="1"/>
  <c r="F408" i="7"/>
  <c r="F99" i="7"/>
  <c r="F11" i="10" s="1"/>
  <c r="L175" i="13" s="1"/>
  <c r="Q175" i="13" s="1"/>
  <c r="F117" i="7"/>
  <c r="F12" i="10" s="1"/>
  <c r="L178" i="13" s="1"/>
  <c r="Q178" i="13" s="1"/>
  <c r="E243" i="7"/>
  <c r="E298" i="7"/>
  <c r="E36" i="10" s="1"/>
  <c r="B248" i="7"/>
  <c r="E81" i="7"/>
  <c r="E10" i="10" s="1"/>
  <c r="B321" i="7"/>
  <c r="E117" i="7"/>
  <c r="E135" i="7"/>
  <c r="E13" i="10" s="1"/>
  <c r="E280" i="7"/>
  <c r="F225" i="7"/>
  <c r="E334" i="7"/>
  <c r="E38" i="10" s="1"/>
  <c r="F354" i="7"/>
  <c r="F39" i="10" s="1"/>
  <c r="F148" i="7"/>
  <c r="E316" i="7"/>
  <c r="F243" i="7"/>
  <c r="E15" i="10"/>
  <c r="K207" i="13" s="1"/>
  <c r="O207" i="13" s="1"/>
  <c r="F186" i="7"/>
  <c r="E225" i="7"/>
  <c r="E32" i="10" s="1"/>
  <c r="F280" i="7"/>
  <c r="F35" i="10" s="1"/>
  <c r="F298" i="7"/>
  <c r="F81" i="7"/>
  <c r="F10" i="10" s="1"/>
  <c r="F135" i="7"/>
  <c r="F13" i="10" s="1"/>
  <c r="E148" i="7"/>
  <c r="E14" i="10" s="1"/>
  <c r="B344" i="7"/>
  <c r="B345" i="7" s="1"/>
  <c r="B342" i="7"/>
  <c r="B231" i="7"/>
  <c r="E390" i="7"/>
  <c r="E26" i="10" s="1"/>
  <c r="E261" i="7"/>
  <c r="F372" i="7"/>
  <c r="F40" i="10" s="1"/>
  <c r="E354" i="7"/>
  <c r="E426" i="7"/>
  <c r="C13" i="15"/>
  <c r="F13" i="15" s="1"/>
  <c r="C12" i="15"/>
  <c r="F12" i="15" s="1"/>
  <c r="B190" i="7"/>
  <c r="B189" i="7"/>
  <c r="B191" i="7" s="1"/>
  <c r="B192" i="7" s="1"/>
  <c r="E408" i="7"/>
  <c r="E29" i="10" s="1"/>
  <c r="L9" i="26"/>
  <c r="H15" i="15"/>
  <c r="H19" i="15"/>
  <c r="H16" i="15"/>
  <c r="AZ52" i="17"/>
  <c r="AZ64" i="17"/>
  <c r="AO84" i="17"/>
  <c r="AZ28" i="17"/>
  <c r="AA84" i="17"/>
  <c r="AR84" i="17"/>
  <c r="H18" i="15"/>
  <c r="AL84" i="17"/>
  <c r="AB84" i="17"/>
  <c r="AZ39" i="17"/>
  <c r="AZ70" i="17"/>
  <c r="AZ16" i="17"/>
  <c r="P84" i="17"/>
  <c r="R84" i="17"/>
  <c r="H20" i="15"/>
  <c r="AZ40" i="17"/>
  <c r="AZ79" i="17"/>
  <c r="AZ77" i="17"/>
  <c r="AK84" i="17"/>
  <c r="AZ65" i="17"/>
  <c r="AZ78" i="17"/>
  <c r="Z84" i="17"/>
  <c r="AZ45" i="17"/>
  <c r="AZ55" i="17"/>
  <c r="AZ82" i="17"/>
  <c r="AZ54" i="17"/>
  <c r="AP84" i="17"/>
  <c r="AJ84" i="17"/>
  <c r="AI84" i="17"/>
  <c r="AZ48" i="17"/>
  <c r="H10" i="15"/>
  <c r="J84" i="17"/>
  <c r="AM84" i="17"/>
  <c r="AZ50" i="17"/>
  <c r="V84" i="17"/>
  <c r="O84" i="17"/>
  <c r="AZ68" i="17"/>
  <c r="Q84" i="17"/>
  <c r="AZ42" i="17"/>
  <c r="AZ63" i="17"/>
  <c r="L84" i="17"/>
  <c r="AZ80" i="17"/>
  <c r="K84" i="17"/>
  <c r="X84" i="17"/>
  <c r="AT84" i="17"/>
  <c r="Y84" i="17"/>
  <c r="AZ74" i="17"/>
  <c r="AZ41" i="17"/>
  <c r="S84" i="17"/>
  <c r="AE84" i="17"/>
  <c r="AS84" i="17"/>
  <c r="M84" i="17"/>
  <c r="AZ56" i="17"/>
  <c r="AG84" i="17"/>
  <c r="N84" i="17"/>
  <c r="AZ51" i="17"/>
  <c r="AH84" i="17"/>
  <c r="T84" i="17"/>
  <c r="AZ62" i="17"/>
  <c r="AZ72" i="17"/>
  <c r="AZ53" i="17"/>
  <c r="AZ47" i="17"/>
  <c r="AZ22" i="17"/>
  <c r="AZ43" i="17"/>
  <c r="AN84" i="17"/>
  <c r="AC84" i="17"/>
  <c r="AZ75" i="17"/>
  <c r="AQ84" i="17"/>
  <c r="AZ24" i="17"/>
  <c r="AZ49" i="17"/>
  <c r="AZ69" i="17"/>
  <c r="H84" i="17"/>
  <c r="AZ46" i="17"/>
  <c r="AD84" i="17"/>
  <c r="U84" i="17"/>
  <c r="AZ19" i="17"/>
  <c r="AZ73" i="17"/>
  <c r="AZ81" i="17"/>
  <c r="AZ18" i="17"/>
  <c r="W84" i="17"/>
  <c r="AZ20" i="17"/>
  <c r="AF84" i="17"/>
  <c r="AZ66" i="17"/>
  <c r="I84" i="17"/>
  <c r="AZ57" i="17"/>
  <c r="AZ36" i="17"/>
  <c r="AZ29" i="17"/>
  <c r="AW84" i="17"/>
  <c r="AZ76" i="17"/>
  <c r="AZ61" i="17"/>
  <c r="AZ30" i="17"/>
  <c r="AZ32" i="17"/>
  <c r="AZ31" i="17"/>
  <c r="AZ67" i="17"/>
  <c r="AZ25" i="17"/>
  <c r="AZ60" i="17"/>
  <c r="AZ44" i="17"/>
  <c r="AU84" i="17"/>
  <c r="AV84" i="17"/>
  <c r="AX84" i="17"/>
  <c r="AZ58" i="17"/>
  <c r="AZ59" i="17"/>
  <c r="AZ23" i="17"/>
  <c r="AZ35" i="17"/>
  <c r="AZ21" i="17"/>
  <c r="AZ26" i="17"/>
  <c r="AZ71" i="17"/>
  <c r="AZ34" i="17"/>
  <c r="AZ33" i="17"/>
  <c r="AZ27" i="17"/>
  <c r="B304" i="7"/>
  <c r="B305" i="7" s="1"/>
  <c r="B306" i="7" s="1"/>
  <c r="B307" i="7" s="1"/>
  <c r="B308" i="7" s="1"/>
  <c r="B309" i="7" s="1"/>
  <c r="B303" i="7"/>
  <c r="B284" i="7"/>
  <c r="G11" i="15"/>
  <c r="G17" i="15"/>
  <c r="G12" i="15"/>
  <c r="AY37" i="17"/>
  <c r="AY83" i="17"/>
  <c r="G14" i="15"/>
  <c r="G13" i="15"/>
  <c r="E28" i="10" l="1"/>
  <c r="F26" i="10"/>
  <c r="F28" i="10"/>
  <c r="E24" i="10"/>
  <c r="E39" i="10"/>
  <c r="E19" i="10"/>
  <c r="K120" i="13" s="1"/>
  <c r="O120" i="13" s="1"/>
  <c r="E34" i="10"/>
  <c r="F22" i="10"/>
  <c r="L225" i="13" s="1"/>
  <c r="Q225" i="13" s="1"/>
  <c r="F36" i="10"/>
  <c r="E21" i="10"/>
  <c r="K110" i="13" s="1"/>
  <c r="O110" i="13" s="1"/>
  <c r="E35" i="10"/>
  <c r="F16" i="10"/>
  <c r="L201" i="13" s="1"/>
  <c r="Q201" i="13" s="1"/>
  <c r="F32" i="10"/>
  <c r="E17" i="10"/>
  <c r="K196" i="13" s="1"/>
  <c r="O196" i="13" s="1"/>
  <c r="E33" i="10"/>
  <c r="F17" i="10"/>
  <c r="L196" i="13" s="1"/>
  <c r="Q196" i="13" s="1"/>
  <c r="F33" i="10"/>
  <c r="F27" i="10"/>
  <c r="F29" i="10"/>
  <c r="F19" i="10"/>
  <c r="L118" i="13" s="1"/>
  <c r="Q118" i="13" s="1"/>
  <c r="F34" i="10"/>
  <c r="K276" i="13"/>
  <c r="O276" i="13" s="1"/>
  <c r="E37" i="10"/>
  <c r="E27" i="10"/>
  <c r="F14" i="10"/>
  <c r="F20" i="10"/>
  <c r="L117" i="13" s="1"/>
  <c r="Q117" i="13" s="1"/>
  <c r="F21" i="10"/>
  <c r="L110" i="13" s="1"/>
  <c r="Q110" i="13" s="1"/>
  <c r="F24" i="10"/>
  <c r="E20" i="10"/>
  <c r="K117" i="13" s="1"/>
  <c r="O117" i="13" s="1"/>
  <c r="L279" i="13"/>
  <c r="Q279" i="13" s="1"/>
  <c r="E16" i="10"/>
  <c r="K200" i="13" s="1"/>
  <c r="O200" i="13" s="1"/>
  <c r="E23" i="10"/>
  <c r="K275" i="13" s="1"/>
  <c r="O275" i="13" s="1"/>
  <c r="E22" i="10"/>
  <c r="K277" i="13" s="1"/>
  <c r="O277" i="13" s="1"/>
  <c r="E25" i="10"/>
  <c r="E12" i="10"/>
  <c r="K178" i="13" s="1"/>
  <c r="O178" i="13" s="1"/>
  <c r="F25" i="10"/>
  <c r="F15" i="10"/>
  <c r="L208" i="13" s="1"/>
  <c r="Q208" i="13" s="1"/>
  <c r="F23" i="10"/>
  <c r="L232" i="13" s="1"/>
  <c r="Q232" i="13" s="1"/>
  <c r="L119" i="13"/>
  <c r="Q119" i="13" s="1"/>
  <c r="L127" i="13"/>
  <c r="Q127" i="13" s="1"/>
  <c r="L125" i="13"/>
  <c r="Q125" i="13" s="1"/>
  <c r="L114" i="13"/>
  <c r="Q114" i="13" s="1"/>
  <c r="L115" i="13"/>
  <c r="Q115" i="13" s="1"/>
  <c r="L290" i="13"/>
  <c r="Q290" i="13" s="1"/>
  <c r="K181" i="13"/>
  <c r="O181" i="13" s="1"/>
  <c r="L240" i="13"/>
  <c r="Q240" i="13" s="1"/>
  <c r="L271" i="13"/>
  <c r="Q271" i="13" s="1"/>
  <c r="L121" i="13"/>
  <c r="Q121" i="13" s="1"/>
  <c r="L113" i="13"/>
  <c r="Q113" i="13" s="1"/>
  <c r="L227" i="13"/>
  <c r="Q227" i="13" s="1"/>
  <c r="L120" i="13"/>
  <c r="Q120" i="13" s="1"/>
  <c r="L122" i="13"/>
  <c r="Q122" i="13" s="1"/>
  <c r="L214" i="13"/>
  <c r="Q214" i="13" s="1"/>
  <c r="L234" i="13"/>
  <c r="Q234" i="13" s="1"/>
  <c r="K185" i="13"/>
  <c r="O185" i="13" s="1"/>
  <c r="K174" i="13"/>
  <c r="O174" i="13" s="1"/>
  <c r="K179" i="13"/>
  <c r="O179" i="13" s="1"/>
  <c r="L248" i="13"/>
  <c r="Q248" i="13" s="1"/>
  <c r="L266" i="13"/>
  <c r="Q266" i="13" s="1"/>
  <c r="K184" i="13"/>
  <c r="O184" i="13" s="1"/>
  <c r="K126" i="13"/>
  <c r="O126" i="13" s="1"/>
  <c r="L282" i="13"/>
  <c r="Q282" i="13" s="1"/>
  <c r="L211" i="13"/>
  <c r="Q211" i="13" s="1"/>
  <c r="L238" i="13"/>
  <c r="Q238" i="13" s="1"/>
  <c r="L220" i="13"/>
  <c r="Q220" i="13" s="1"/>
  <c r="L286" i="13"/>
  <c r="Q286" i="13" s="1"/>
  <c r="L247" i="13"/>
  <c r="Q247" i="13" s="1"/>
  <c r="L278" i="13"/>
  <c r="Q278" i="13" s="1"/>
  <c r="L230" i="13"/>
  <c r="Q230" i="13" s="1"/>
  <c r="L272" i="13"/>
  <c r="Q272" i="13" s="1"/>
  <c r="L215" i="13"/>
  <c r="Q215" i="13" s="1"/>
  <c r="L252" i="13"/>
  <c r="Q252" i="13" s="1"/>
  <c r="L216" i="13"/>
  <c r="Q216" i="13" s="1"/>
  <c r="L244" i="13"/>
  <c r="Q244" i="13" s="1"/>
  <c r="L251" i="13"/>
  <c r="Q251" i="13" s="1"/>
  <c r="L254" i="13"/>
  <c r="Q254" i="13" s="1"/>
  <c r="L224" i="13"/>
  <c r="Q224" i="13" s="1"/>
  <c r="K176" i="13"/>
  <c r="O176" i="13" s="1"/>
  <c r="L222" i="13"/>
  <c r="Q222" i="13" s="1"/>
  <c r="L267" i="13"/>
  <c r="Q267" i="13" s="1"/>
  <c r="L228" i="13"/>
  <c r="Q228" i="13" s="1"/>
  <c r="L237" i="13"/>
  <c r="Q237" i="13" s="1"/>
  <c r="L128" i="13"/>
  <c r="Q128" i="13" s="1"/>
  <c r="L265" i="13"/>
  <c r="Q265" i="13" s="1"/>
  <c r="L241" i="13"/>
  <c r="Q241" i="13" s="1"/>
  <c r="L116" i="13"/>
  <c r="Q116" i="13" s="1"/>
  <c r="L218" i="13"/>
  <c r="Q218" i="13" s="1"/>
  <c r="L245" i="13"/>
  <c r="Q245" i="13" s="1"/>
  <c r="L106" i="13"/>
  <c r="Q106" i="13" s="1"/>
  <c r="L276" i="13"/>
  <c r="Q276" i="13" s="1"/>
  <c r="L108" i="13"/>
  <c r="Q108" i="13" s="1"/>
  <c r="S175" i="13"/>
  <c r="H14" i="15"/>
  <c r="H12" i="15"/>
  <c r="L274" i="13"/>
  <c r="Q274" i="13" s="1"/>
  <c r="L179" i="13"/>
  <c r="Q179" i="13" s="1"/>
  <c r="L176" i="13"/>
  <c r="Q176" i="13" s="1"/>
  <c r="L275" i="13"/>
  <c r="Q275" i="13" s="1"/>
  <c r="L291" i="13"/>
  <c r="Q291" i="13" s="1"/>
  <c r="K244" i="13"/>
  <c r="O244" i="13" s="1"/>
  <c r="K186" i="13"/>
  <c r="O186" i="13" s="1"/>
  <c r="K127" i="13"/>
  <c r="O127" i="13" s="1"/>
  <c r="L217" i="13"/>
  <c r="Q217" i="13" s="1"/>
  <c r="L250" i="13"/>
  <c r="Q250" i="13" s="1"/>
  <c r="K279" i="13"/>
  <c r="O279" i="13" s="1"/>
  <c r="K218" i="13"/>
  <c r="O218" i="13" s="1"/>
  <c r="K251" i="13"/>
  <c r="O251" i="13" s="1"/>
  <c r="K241" i="13"/>
  <c r="O241" i="13" s="1"/>
  <c r="K227" i="13"/>
  <c r="O227" i="13" s="1"/>
  <c r="K180" i="13"/>
  <c r="O180" i="13" s="1"/>
  <c r="L184" i="13"/>
  <c r="Q184" i="13" s="1"/>
  <c r="K182" i="13"/>
  <c r="O182" i="13" s="1"/>
  <c r="K216" i="13"/>
  <c r="O216" i="13" s="1"/>
  <c r="K267" i="13"/>
  <c r="O267" i="13" s="1"/>
  <c r="K234" i="13"/>
  <c r="O234" i="13" s="1"/>
  <c r="K107" i="13"/>
  <c r="O107" i="13" s="1"/>
  <c r="K177" i="13"/>
  <c r="O177" i="13" s="1"/>
  <c r="K230" i="13"/>
  <c r="O230" i="13" s="1"/>
  <c r="K228" i="13"/>
  <c r="O228" i="13" s="1"/>
  <c r="K286" i="13"/>
  <c r="O286" i="13" s="1"/>
  <c r="K112" i="13"/>
  <c r="O112" i="13" s="1"/>
  <c r="K278" i="13"/>
  <c r="O278" i="13" s="1"/>
  <c r="K248" i="13"/>
  <c r="O248" i="13" s="1"/>
  <c r="K220" i="13"/>
  <c r="O220" i="13" s="1"/>
  <c r="K214" i="13"/>
  <c r="O214" i="13" s="1"/>
  <c r="K111" i="13"/>
  <c r="O111" i="13" s="1"/>
  <c r="L185" i="13"/>
  <c r="Q185" i="13" s="1"/>
  <c r="K211" i="13"/>
  <c r="O211" i="13" s="1"/>
  <c r="K266" i="13"/>
  <c r="O266" i="13" s="1"/>
  <c r="K183" i="13"/>
  <c r="O183" i="13" s="1"/>
  <c r="K271" i="13"/>
  <c r="O271" i="13" s="1"/>
  <c r="K173" i="13"/>
  <c r="O173" i="13" s="1"/>
  <c r="K109" i="13"/>
  <c r="O109" i="13" s="1"/>
  <c r="L174" i="13"/>
  <c r="Q174" i="13" s="1"/>
  <c r="L177" i="13"/>
  <c r="Q177" i="13" s="1"/>
  <c r="L183" i="13"/>
  <c r="Q183" i="13" s="1"/>
  <c r="L181" i="13"/>
  <c r="Q181" i="13" s="1"/>
  <c r="L182" i="13"/>
  <c r="Q182" i="13" s="1"/>
  <c r="L186" i="13"/>
  <c r="Q186" i="13" s="1"/>
  <c r="L180" i="13"/>
  <c r="Q180" i="13" s="1"/>
  <c r="L173" i="13"/>
  <c r="Q173" i="13" s="1"/>
  <c r="K259" i="13"/>
  <c r="O259" i="13" s="1"/>
  <c r="K212" i="13"/>
  <c r="O212" i="13" s="1"/>
  <c r="K256" i="13"/>
  <c r="O256" i="13" s="1"/>
  <c r="K264" i="13"/>
  <c r="O264" i="13" s="1"/>
  <c r="K236" i="13"/>
  <c r="O236" i="13" s="1"/>
  <c r="L289" i="13"/>
  <c r="Q289" i="13" s="1"/>
  <c r="K289" i="13"/>
  <c r="O289" i="13" s="1"/>
  <c r="L223" i="13"/>
  <c r="Q223" i="13" s="1"/>
  <c r="K226" i="13"/>
  <c r="O226" i="13" s="1"/>
  <c r="K231" i="13"/>
  <c r="O231" i="13" s="1"/>
  <c r="K221" i="13"/>
  <c r="O221" i="13" s="1"/>
  <c r="K249" i="13"/>
  <c r="O249" i="13" s="1"/>
  <c r="K261" i="13"/>
  <c r="O261" i="13" s="1"/>
  <c r="K257" i="13"/>
  <c r="O257" i="13" s="1"/>
  <c r="L273" i="13"/>
  <c r="Q273" i="13" s="1"/>
  <c r="L256" i="13"/>
  <c r="Q256" i="13" s="1"/>
  <c r="K235" i="13"/>
  <c r="O235" i="13" s="1"/>
  <c r="K229" i="13"/>
  <c r="O229" i="13" s="1"/>
  <c r="K262" i="13"/>
  <c r="O262" i="13" s="1"/>
  <c r="K281" i="13"/>
  <c r="O281" i="13" s="1"/>
  <c r="K223" i="13"/>
  <c r="O223" i="13" s="1"/>
  <c r="K268" i="13"/>
  <c r="O268" i="13" s="1"/>
  <c r="K292" i="13"/>
  <c r="O292" i="13" s="1"/>
  <c r="K243" i="13"/>
  <c r="O243" i="13" s="1"/>
  <c r="L268" i="13"/>
  <c r="Q268" i="13" s="1"/>
  <c r="K233" i="13"/>
  <c r="O233" i="13" s="1"/>
  <c r="L262" i="13"/>
  <c r="Q262" i="13" s="1"/>
  <c r="L243" i="13"/>
  <c r="Q243" i="13" s="1"/>
  <c r="K258" i="13"/>
  <c r="O258" i="13" s="1"/>
  <c r="K255" i="13"/>
  <c r="O255" i="13" s="1"/>
  <c r="L281" i="13"/>
  <c r="Q281" i="13" s="1"/>
  <c r="L231" i="13"/>
  <c r="Q231" i="13" s="1"/>
  <c r="K239" i="13"/>
  <c r="O239" i="13" s="1"/>
  <c r="K213" i="13"/>
  <c r="O213" i="13" s="1"/>
  <c r="K263" i="13"/>
  <c r="O263" i="13" s="1"/>
  <c r="K269" i="13"/>
  <c r="O269" i="13" s="1"/>
  <c r="K242" i="13"/>
  <c r="O242" i="13" s="1"/>
  <c r="L263" i="13"/>
  <c r="Q263" i="13" s="1"/>
  <c r="L219" i="13"/>
  <c r="Q219" i="13" s="1"/>
  <c r="K288" i="13"/>
  <c r="O288" i="13" s="1"/>
  <c r="L233" i="13"/>
  <c r="Q233" i="13" s="1"/>
  <c r="K260" i="13"/>
  <c r="O260" i="13" s="1"/>
  <c r="K270" i="13"/>
  <c r="O270" i="13" s="1"/>
  <c r="K253" i="13"/>
  <c r="O253" i="13" s="1"/>
  <c r="K245" i="13"/>
  <c r="O245" i="13" s="1"/>
  <c r="K225" i="13"/>
  <c r="O225" i="13" s="1"/>
  <c r="K273" i="13"/>
  <c r="O273" i="13" s="1"/>
  <c r="S273" i="13" s="1"/>
  <c r="L287" i="13"/>
  <c r="Q287" i="13" s="1"/>
  <c r="L269" i="13"/>
  <c r="Q269" i="13" s="1"/>
  <c r="K219" i="13"/>
  <c r="O219" i="13" s="1"/>
  <c r="K265" i="13"/>
  <c r="O265" i="13" s="1"/>
  <c r="K246" i="13"/>
  <c r="O246" i="13" s="1"/>
  <c r="K287" i="13"/>
  <c r="O287" i="13" s="1"/>
  <c r="L288" i="13"/>
  <c r="Q288" i="13" s="1"/>
  <c r="L253" i="13"/>
  <c r="Q253" i="13" s="1"/>
  <c r="L126" i="13"/>
  <c r="Q126" i="13" s="1"/>
  <c r="K208" i="13"/>
  <c r="O208" i="13" s="1"/>
  <c r="L213" i="13"/>
  <c r="Q213" i="13" s="1"/>
  <c r="S213" i="13" s="1"/>
  <c r="L107" i="13"/>
  <c r="Q107" i="13" s="1"/>
  <c r="L203" i="13"/>
  <c r="Q203" i="13" s="1"/>
  <c r="K128" i="13"/>
  <c r="O128" i="13" s="1"/>
  <c r="L111" i="13"/>
  <c r="Q111" i="13" s="1"/>
  <c r="K197" i="13"/>
  <c r="O197" i="13" s="1"/>
  <c r="K113" i="13"/>
  <c r="O113" i="13" s="1"/>
  <c r="L112" i="13"/>
  <c r="Q112" i="13" s="1"/>
  <c r="L280" i="13"/>
  <c r="Q280" i="13" s="1"/>
  <c r="L202" i="13"/>
  <c r="Q202" i="13" s="1"/>
  <c r="L109" i="13"/>
  <c r="Q109" i="13" s="1"/>
  <c r="K232" i="13"/>
  <c r="O232" i="13" s="1"/>
  <c r="K215" i="13"/>
  <c r="O215" i="13" s="1"/>
  <c r="K201" i="13"/>
  <c r="O201" i="13" s="1"/>
  <c r="S201" i="13" s="1"/>
  <c r="K282" i="13"/>
  <c r="O282" i="13" s="1"/>
  <c r="L249" i="13"/>
  <c r="Q249" i="13" s="1"/>
  <c r="L292" i="13"/>
  <c r="Q292" i="13" s="1"/>
  <c r="L277" i="13"/>
  <c r="Q277" i="13" s="1"/>
  <c r="S277" i="13" s="1"/>
  <c r="L261" i="13"/>
  <c r="Q261" i="13" s="1"/>
  <c r="L212" i="13"/>
  <c r="Q212" i="13" s="1"/>
  <c r="L259" i="13"/>
  <c r="Q259" i="13" s="1"/>
  <c r="L257" i="13"/>
  <c r="Q257" i="13" s="1"/>
  <c r="L260" i="13"/>
  <c r="Q260" i="13" s="1"/>
  <c r="L246" i="13"/>
  <c r="Q246" i="13" s="1"/>
  <c r="K238" i="13"/>
  <c r="O238" i="13" s="1"/>
  <c r="K272" i="13"/>
  <c r="O272" i="13" s="1"/>
  <c r="K247" i="13"/>
  <c r="O247" i="13" s="1"/>
  <c r="S247" i="13" s="1"/>
  <c r="K254" i="13"/>
  <c r="O254" i="13" s="1"/>
  <c r="K252" i="13"/>
  <c r="O252" i="13" s="1"/>
  <c r="K240" i="13"/>
  <c r="O240" i="13" s="1"/>
  <c r="L264" i="13"/>
  <c r="Q264" i="13" s="1"/>
  <c r="L235" i="13"/>
  <c r="Q235" i="13" s="1"/>
  <c r="L226" i="13"/>
  <c r="Q226" i="13" s="1"/>
  <c r="L270" i="13"/>
  <c r="Q270" i="13" s="1"/>
  <c r="L239" i="13"/>
  <c r="Q239" i="13" s="1"/>
  <c r="L242" i="13"/>
  <c r="Q242" i="13" s="1"/>
  <c r="K122" i="13"/>
  <c r="O122" i="13" s="1"/>
  <c r="K222" i="13"/>
  <c r="O222" i="13" s="1"/>
  <c r="L236" i="13"/>
  <c r="Q236" i="13" s="1"/>
  <c r="K224" i="13"/>
  <c r="O224" i="13" s="1"/>
  <c r="K237" i="13"/>
  <c r="O237" i="13" s="1"/>
  <c r="K290" i="13"/>
  <c r="O290" i="13" s="1"/>
  <c r="L255" i="13"/>
  <c r="Q255" i="13" s="1"/>
  <c r="L221" i="13"/>
  <c r="Q221" i="13" s="1"/>
  <c r="L258" i="13"/>
  <c r="Q258" i="13" s="1"/>
  <c r="L229" i="13"/>
  <c r="Q229" i="13" s="1"/>
  <c r="K198" i="13"/>
  <c r="O198" i="13" s="1"/>
  <c r="K209" i="13"/>
  <c r="O209" i="13" s="1"/>
  <c r="K205" i="13"/>
  <c r="O205" i="13" s="1"/>
  <c r="K199" i="13"/>
  <c r="O199" i="13" s="1"/>
  <c r="K274" i="13"/>
  <c r="O274" i="13" s="1"/>
  <c r="K217" i="13"/>
  <c r="O217" i="13" s="1"/>
  <c r="K250" i="13"/>
  <c r="O250" i="13" s="1"/>
  <c r="K202" i="13"/>
  <c r="O202" i="13" s="1"/>
  <c r="L200" i="13"/>
  <c r="Q200" i="13" s="1"/>
  <c r="L209" i="13"/>
  <c r="Q209" i="13" s="1"/>
  <c r="L198" i="13"/>
  <c r="Q198" i="13" s="1"/>
  <c r="L204" i="13"/>
  <c r="Q204" i="13" s="1"/>
  <c r="L207" i="13"/>
  <c r="Q207" i="13" s="1"/>
  <c r="S207" i="13" s="1"/>
  <c r="K204" i="13"/>
  <c r="O204" i="13" s="1"/>
  <c r="K291" i="13"/>
  <c r="O291" i="13" s="1"/>
  <c r="K206" i="13"/>
  <c r="O206" i="13" s="1"/>
  <c r="K280" i="13"/>
  <c r="O280" i="13" s="1"/>
  <c r="S178" i="13"/>
  <c r="K203" i="13"/>
  <c r="O203" i="13" s="1"/>
  <c r="L199" i="13"/>
  <c r="Q199" i="13" s="1"/>
  <c r="L205" i="13"/>
  <c r="Q205" i="13" s="1"/>
  <c r="L197" i="13"/>
  <c r="Q197" i="13" s="1"/>
  <c r="L206" i="13"/>
  <c r="Q206" i="13" s="1"/>
  <c r="K114" i="13"/>
  <c r="O114" i="13" s="1"/>
  <c r="K106" i="13"/>
  <c r="O106" i="13" s="1"/>
  <c r="K108" i="13"/>
  <c r="O108" i="13" s="1"/>
  <c r="K116" i="13"/>
  <c r="O116" i="13" s="1"/>
  <c r="K115" i="13"/>
  <c r="O115" i="13" s="1"/>
  <c r="K121" i="13"/>
  <c r="O121" i="13" s="1"/>
  <c r="K125" i="13"/>
  <c r="O125" i="13" s="1"/>
  <c r="K119" i="13"/>
  <c r="O119" i="13" s="1"/>
  <c r="K118" i="13"/>
  <c r="O118" i="13" s="1"/>
  <c r="S118" i="13" s="1"/>
  <c r="C15" i="18"/>
  <c r="E15" i="18"/>
  <c r="AY84" i="17"/>
  <c r="C24" i="18" s="1"/>
  <c r="D15" i="18"/>
  <c r="H17" i="15"/>
  <c r="H13" i="15"/>
  <c r="S200" i="13" l="1"/>
  <c r="S110" i="13"/>
  <c r="S196" i="13"/>
  <c r="S225" i="13"/>
  <c r="S232" i="13"/>
  <c r="S120" i="13"/>
  <c r="S276" i="13"/>
  <c r="S266" i="13"/>
  <c r="S240" i="13"/>
  <c r="S286" i="13"/>
  <c r="S254" i="13"/>
  <c r="S117" i="13"/>
  <c r="S186" i="13"/>
  <c r="S278" i="13"/>
  <c r="S208" i="13"/>
  <c r="S174" i="13"/>
  <c r="S279" i="13"/>
  <c r="S275" i="13"/>
  <c r="S228" i="13"/>
  <c r="S121" i="13"/>
  <c r="S114" i="13"/>
  <c r="S119" i="13"/>
  <c r="S237" i="13"/>
  <c r="S290" i="13"/>
  <c r="S122" i="13"/>
  <c r="S238" i="13"/>
  <c r="S272" i="13"/>
  <c r="S217" i="13"/>
  <c r="S252" i="13"/>
  <c r="S245" i="13"/>
  <c r="S267" i="13"/>
  <c r="S125" i="13"/>
  <c r="S115" i="13"/>
  <c r="S116" i="13"/>
  <c r="S127" i="13"/>
  <c r="S256" i="13"/>
  <c r="S227" i="13"/>
  <c r="S222" i="13"/>
  <c r="S274" i="13"/>
  <c r="S211" i="13"/>
  <c r="S109" i="13"/>
  <c r="S176" i="13"/>
  <c r="S181" i="13"/>
  <c r="S282" i="13"/>
  <c r="S177" i="13"/>
  <c r="S223" i="13"/>
  <c r="S218" i="13"/>
  <c r="S179" i="13"/>
  <c r="S216" i="13"/>
  <c r="S106" i="13"/>
  <c r="S113" i="13"/>
  <c r="S231" i="13"/>
  <c r="S220" i="13"/>
  <c r="S215" i="13"/>
  <c r="S271" i="13"/>
  <c r="S248" i="13"/>
  <c r="S234" i="13"/>
  <c r="S214" i="13"/>
  <c r="S185" i="13"/>
  <c r="S128" i="13"/>
  <c r="S126" i="13"/>
  <c r="S251" i="13"/>
  <c r="S108" i="13"/>
  <c r="S182" i="13"/>
  <c r="S244" i="13"/>
  <c r="S291" i="13"/>
  <c r="S184" i="13"/>
  <c r="S202" i="13"/>
  <c r="S261" i="13"/>
  <c r="S265" i="13"/>
  <c r="S224" i="13"/>
  <c r="S230" i="13"/>
  <c r="S241" i="13"/>
  <c r="S212" i="13"/>
  <c r="S242" i="13"/>
  <c r="S107" i="13"/>
  <c r="S246" i="13"/>
  <c r="S249" i="13"/>
  <c r="S112" i="13"/>
  <c r="S269" i="13"/>
  <c r="S233" i="13"/>
  <c r="S250" i="13"/>
  <c r="S236" i="13"/>
  <c r="S264" i="13"/>
  <c r="S219" i="13"/>
  <c r="S229" i="13"/>
  <c r="S258" i="13"/>
  <c r="S183" i="13"/>
  <c r="S262" i="13"/>
  <c r="S111" i="13"/>
  <c r="S270" i="13"/>
  <c r="S203" i="13"/>
  <c r="S257" i="13"/>
  <c r="S253" i="13"/>
  <c r="S281" i="13"/>
  <c r="S292" i="13"/>
  <c r="S289" i="13"/>
  <c r="S180" i="13"/>
  <c r="S173" i="13"/>
  <c r="S235" i="13"/>
  <c r="S260" i="13"/>
  <c r="S243" i="13"/>
  <c r="S263" i="13"/>
  <c r="S221" i="13"/>
  <c r="S205" i="13"/>
  <c r="S280" i="13"/>
  <c r="S255" i="13"/>
  <c r="S287" i="13"/>
  <c r="S288" i="13"/>
  <c r="S259" i="13"/>
  <c r="S268" i="13"/>
  <c r="S239" i="13"/>
  <c r="S197" i="13"/>
  <c r="S226" i="13"/>
  <c r="S209" i="13"/>
  <c r="S198" i="13"/>
  <c r="S199" i="13"/>
  <c r="S204" i="13"/>
  <c r="P9" i="13"/>
  <c r="D9" i="18" s="1"/>
  <c r="D17" i="18" s="1"/>
  <c r="D18" i="18" s="1"/>
  <c r="S206" i="13"/>
  <c r="N9" i="13"/>
  <c r="C9" i="18" s="1"/>
  <c r="C17" i="18" s="1"/>
  <c r="C18" i="18" s="1"/>
  <c r="C11" i="15" l="1"/>
  <c r="F11" i="15" s="1"/>
  <c r="H11" i="15" s="1"/>
  <c r="R9" i="13"/>
  <c r="B2" i="4" s="1"/>
  <c r="E9" i="18" l="1"/>
  <c r="E17" i="18" s="1"/>
  <c r="E18" i="18" s="1"/>
  <c r="P11" i="18"/>
  <c r="I8" i="18"/>
  <c r="C23" i="18"/>
  <c r="C27" i="18" s="1"/>
  <c r="C28" i="18" s="1"/>
  <c r="M11" i="18"/>
  <c r="R11" i="18"/>
  <c r="J11" i="18"/>
  <c r="E19" i="18" l="1"/>
  <c r="C19" i="18"/>
  <c r="D19" i="18"/>
  <c r="G24" i="18"/>
  <c r="G22" i="18"/>
  <c r="G23" i="18"/>
  <c r="G26" i="18"/>
  <c r="G25" i="18"/>
  <c r="G28" i="18"/>
  <c r="G27"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B7" authorId="0" shapeId="0" xr:uid="{00000000-0006-0000-0100-000001000000}">
      <text>
        <r>
          <rPr>
            <sz val="8"/>
            <color indexed="81"/>
            <rFont val="Tahoma"/>
            <family val="2"/>
          </rPr>
          <t>This field drives the titles on other tabs.</t>
        </r>
      </text>
    </comment>
    <comment ref="B9" authorId="0" shapeId="0" xr:uid="{00000000-0006-0000-0100-000002000000}">
      <text>
        <r>
          <rPr>
            <sz val="8"/>
            <color indexed="81"/>
            <rFont val="Tahoma"/>
            <family val="2"/>
          </rPr>
          <t>This field drives the titles on other tabs.</t>
        </r>
      </text>
    </comment>
    <comment ref="C13" authorId="0" shapeId="0" xr:uid="{00000000-0006-0000-0100-000003000000}">
      <text>
        <r>
          <rPr>
            <sz val="8"/>
            <color indexed="81"/>
            <rFont val="Tahoma"/>
            <family val="2"/>
          </rPr>
          <t xml:space="preserve">Please enter your track (up to 21) in the existing table. You can add more tracks which will be available from the track dropdown on the tab 'Staffing Plan'. 
The limit for the 'Track_LOE_Summary' however is 21. Please post a comment on https://vox.sapient.com/groups/estimation-tool-ongoing-releases?view=discussions in case you need support.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Benjamin Angel</author>
    <author>Ashish Saxena</author>
  </authors>
  <commentList>
    <comment ref="S9" authorId="0" shapeId="0" xr:uid="{00000000-0006-0000-0400-000001000000}">
      <text>
        <r>
          <rPr>
            <sz val="8"/>
            <color indexed="81"/>
            <rFont val="Tahoma"/>
            <family val="2"/>
          </rPr>
          <t>This is the total WBS LOE that is used to calculate the total project LOE in the "Total LOE" tab.</t>
        </r>
      </text>
    </comment>
    <comment ref="B11" authorId="0" shapeId="0" xr:uid="{00000000-0006-0000-0400-000002000000}">
      <text>
        <r>
          <rPr>
            <sz val="8"/>
            <color indexed="81"/>
            <rFont val="Tahoma"/>
            <family val="2"/>
          </rPr>
          <t>Column to show errors and warnings in stories.</t>
        </r>
      </text>
    </comment>
    <comment ref="C11" authorId="0" shapeId="0" xr:uid="{00000000-0006-0000-0400-000003000000}">
      <text>
        <r>
          <rPr>
            <sz val="8"/>
            <color indexed="81"/>
            <rFont val="Tahoma"/>
            <family val="2"/>
          </rPr>
          <t>The category to which this story belongs, if any.</t>
        </r>
      </text>
    </comment>
    <comment ref="D11" authorId="0" shapeId="0" xr:uid="{00000000-0006-0000-0400-000004000000}">
      <text>
        <r>
          <rPr>
            <sz val="8"/>
            <color indexed="81"/>
            <rFont val="Tahoma"/>
            <family val="2"/>
          </rPr>
          <t>If known, the Track that will deliver this story.</t>
        </r>
      </text>
    </comment>
    <comment ref="E11" authorId="0" shapeId="0" xr:uid="{00000000-0006-0000-0400-000005000000}">
      <text>
        <r>
          <rPr>
            <sz val="8"/>
            <color indexed="81"/>
            <rFont val="Tahoma"/>
            <family val="2"/>
          </rPr>
          <t>Stories that comprise the solution.</t>
        </r>
      </text>
    </comment>
    <comment ref="H11" authorId="0" shapeId="0" xr:uid="{00000000-0006-0000-0400-000006000000}">
      <text>
        <r>
          <rPr>
            <sz val="8"/>
            <color indexed="81"/>
            <rFont val="Tahoma"/>
            <family val="2"/>
          </rPr>
          <t>A unique identifier for the requirement which this story helps to realize.
This is generally found in the Item # column of the Scope Matrix.</t>
        </r>
      </text>
    </comment>
    <comment ref="I11" authorId="0" shapeId="0" xr:uid="{00000000-0006-0000-0400-000007000000}">
      <text>
        <r>
          <rPr>
            <sz val="8"/>
            <color indexed="81"/>
            <rFont val="Tahoma"/>
            <family val="2"/>
          </rPr>
          <t xml:space="preserve">Use this column to selectively remove items from the total estimates (while leaving them intact on this sheet). </t>
        </r>
      </text>
    </comment>
    <comment ref="J11" authorId="0" shapeId="0" xr:uid="{00000000-0006-0000-0400-000008000000}">
      <text>
        <r>
          <rPr>
            <sz val="8"/>
            <color indexed="81"/>
            <rFont val="Tahoma"/>
            <family val="2"/>
          </rPr>
          <t>The type of story to use as a base for estimating this story.</t>
        </r>
      </text>
    </comment>
    <comment ref="K11" authorId="0" shapeId="0" xr:uid="{00000000-0006-0000-0400-000009000000}">
      <text>
        <r>
          <rPr>
            <sz val="8"/>
            <color indexed="81"/>
            <rFont val="Tahoma"/>
            <family val="2"/>
          </rPr>
          <t>The Aggressive But Possible (ABP) estimate for this story.
This is an estimate you expect to hit 50% of the time.</t>
        </r>
      </text>
    </comment>
    <comment ref="L11" authorId="0" shapeId="0" xr:uid="{00000000-0006-0000-0400-00000A000000}">
      <text>
        <r>
          <rPr>
            <sz val="8"/>
            <color indexed="81"/>
            <rFont val="Tahoma"/>
            <family val="2"/>
          </rPr>
          <t>The Highly Probable (HP) estimate for this story. 
This is an estimate you expect to hit &gt;90% of the time.</t>
        </r>
      </text>
    </comment>
    <comment ref="M11" authorId="0" shapeId="0" xr:uid="{00000000-0006-0000-0400-00000B000000}">
      <text>
        <r>
          <rPr>
            <sz val="8"/>
            <color indexed="81"/>
            <rFont val="Tahoma"/>
            <family val="2"/>
          </rPr>
          <t>To be used only when you are estimating several 
stories that have the same ABP and HP.</t>
        </r>
      </text>
    </comment>
    <comment ref="S11" authorId="0" shapeId="0" xr:uid="{00000000-0006-0000-0400-00000C000000}">
      <text>
        <r>
          <rPr>
            <sz val="8"/>
            <color indexed="81"/>
            <rFont val="Tahoma"/>
            <family val="2"/>
          </rPr>
          <t>The yellow columns are intended as scratch areas. You may use them to create sub-totals or perform calculations of your own.</t>
        </r>
      </text>
    </comment>
    <comment ref="S12" authorId="0" shapeId="0" xr:uid="{00000000-0006-0000-0400-00000D000000}">
      <text>
        <r>
          <rPr>
            <sz val="8"/>
            <color indexed="81"/>
            <rFont val="Tahoma"/>
            <family val="2"/>
          </rPr>
          <t>The average of the ABP and HP.</t>
        </r>
      </text>
    </comment>
    <comment ref="B13" authorId="1" shapeId="0" xr:uid="{00000000-0006-0000-0400-00000E000000}">
      <text>
        <r>
          <rPr>
            <sz val="8"/>
            <color indexed="81"/>
            <rFont val="Tahoma"/>
            <family val="2"/>
          </rPr>
          <t>Errors:
- You have not provided an entry in 'Category'. (128)
Warnings:
- You have not entered a Scope Reference, which is recommended. (1024)</t>
        </r>
      </text>
    </comment>
    <comment ref="C13" authorId="0" shapeId="0" xr:uid="{00000000-0006-0000-0400-00000F000000}">
      <text>
        <r>
          <rPr>
            <sz val="8"/>
            <color indexed="81"/>
            <rFont val="Tahoma"/>
            <family val="2"/>
          </rPr>
          <t>The category to which this story belongs, if any.</t>
        </r>
      </text>
    </comment>
    <comment ref="D13" authorId="0" shapeId="0" xr:uid="{00000000-0006-0000-0400-000010000000}">
      <text>
        <r>
          <rPr>
            <sz val="8"/>
            <color indexed="81"/>
            <rFont val="Tahoma"/>
            <family val="2"/>
          </rPr>
          <t>If known, the Track that will deliver this story.</t>
        </r>
      </text>
    </comment>
    <comment ref="E13" authorId="0" shapeId="0" xr:uid="{00000000-0006-0000-0400-000011000000}">
      <text>
        <r>
          <rPr>
            <sz val="8"/>
            <color indexed="81"/>
            <rFont val="Tahoma"/>
            <family val="2"/>
          </rPr>
          <t>Stories that comprise the solution.</t>
        </r>
      </text>
    </comment>
    <comment ref="H13" authorId="0" shapeId="0" xr:uid="{00000000-0006-0000-0400-000012000000}">
      <text>
        <r>
          <rPr>
            <sz val="8"/>
            <color indexed="81"/>
            <rFont val="Tahoma"/>
            <family val="2"/>
          </rPr>
          <t>A unique identifier for the requirement which this story helps to realize.
This is generally found in the Item # column of the Scope Matrix.</t>
        </r>
      </text>
    </comment>
    <comment ref="I13" authorId="0" shapeId="0" xr:uid="{00000000-0006-0000-0400-000013000000}">
      <text>
        <r>
          <rPr>
            <sz val="8"/>
            <color indexed="81"/>
            <rFont val="Tahoma"/>
            <family val="2"/>
          </rPr>
          <t xml:space="preserve">Use this column to selectively remove items from the total estimates (while leaving them intact on this sheet). </t>
        </r>
      </text>
    </comment>
    <comment ref="J13" authorId="0" shapeId="0" xr:uid="{00000000-0006-0000-0400-000014000000}">
      <text>
        <r>
          <rPr>
            <sz val="8"/>
            <color indexed="81"/>
            <rFont val="Tahoma"/>
            <family val="2"/>
          </rPr>
          <t>The type of story to use as a base for estimating this story.</t>
        </r>
      </text>
    </comment>
    <comment ref="K13" authorId="0" shapeId="0" xr:uid="{00000000-0006-0000-0400-000015000000}">
      <text>
        <r>
          <rPr>
            <sz val="8"/>
            <color indexed="81"/>
            <rFont val="Tahoma"/>
            <family val="2"/>
          </rPr>
          <t>The Aggressive But Possible (ABP) estimate for this story.
This is an estimate you expect to hit 50% of the time.</t>
        </r>
      </text>
    </comment>
    <comment ref="L13" authorId="0" shapeId="0" xr:uid="{00000000-0006-0000-0400-000016000000}">
      <text>
        <r>
          <rPr>
            <sz val="8"/>
            <color indexed="81"/>
            <rFont val="Tahoma"/>
            <family val="2"/>
          </rPr>
          <t>The Highly Probable (HP) estimate for this story. 
This is an estimate you expect to hit &gt;90% of the time.</t>
        </r>
      </text>
    </comment>
    <comment ref="M13" authorId="0" shapeId="0" xr:uid="{00000000-0006-0000-0400-000017000000}">
      <text>
        <r>
          <rPr>
            <sz val="8"/>
            <color indexed="81"/>
            <rFont val="Tahoma"/>
            <family val="2"/>
          </rPr>
          <t>To be used only when you are estimating several 
stories that have the same ABP and HP.</t>
        </r>
      </text>
    </comment>
    <comment ref="B14" authorId="1" shapeId="0" xr:uid="{00000000-0006-0000-0400-000018000000}">
      <text>
        <r>
          <rPr>
            <sz val="8"/>
            <color indexed="81"/>
            <rFont val="Tahoma"/>
            <family val="2"/>
          </rPr>
          <t>Errors:
- You have not provided an entry in 'Story Name'. (64)
Warnings:
- You have not entered a Scope Reference, which is recommended. (1024)
- You have not provided an entry in 'ABP' (1048576)
- You have not provided an entry in 'HP' (2097152)</t>
        </r>
      </text>
    </comment>
    <comment ref="B19" authorId="1" shapeId="0" xr:uid="{00000000-0006-0000-0400-000019000000}">
      <text>
        <r>
          <rPr>
            <sz val="8"/>
            <color indexed="81"/>
            <rFont val="Tahoma"/>
            <family val="2"/>
          </rPr>
          <t>Errors:
- You have not provided an entry in 'Category'. (128)
Warnings:
- You have not entered a Scope Reference, which is recommended. (1024)</t>
        </r>
      </text>
    </comment>
    <comment ref="B20" authorId="1" shapeId="0" xr:uid="{00000000-0006-0000-0400-00001A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26" authorId="1" shapeId="0" xr:uid="{00000000-0006-0000-0400-00001B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27" authorId="1" shapeId="0" xr:uid="{00000000-0006-0000-0400-00001C000000}">
      <text>
        <r>
          <rPr>
            <sz val="8"/>
            <color indexed="81"/>
            <rFont val="Tahoma"/>
            <family val="2"/>
          </rPr>
          <t>Errors:
- You have not provided an entry in 'Category'. (128)
- The 'ABP' is not a multiple of '0.25'. (8192)
Warnings:
- You have not entered a Scope Reference, which is recommended. (1024)</t>
        </r>
      </text>
    </comment>
    <comment ref="B29" authorId="1" shapeId="0" xr:uid="{00000000-0006-0000-0400-00001D000000}">
      <text>
        <r>
          <rPr>
            <sz val="8"/>
            <color indexed="81"/>
            <rFont val="Tahoma"/>
            <family val="2"/>
          </rPr>
          <t>Errors:
- You have not provided an entry in 'Category'. (128)
Warnings:
- You have not entered a Scope Reference, which is recommended. (1024)</t>
        </r>
      </text>
    </comment>
    <comment ref="B30" authorId="1" shapeId="0" xr:uid="{00000000-0006-0000-0400-00001E000000}">
      <text>
        <r>
          <rPr>
            <sz val="8"/>
            <color indexed="81"/>
            <rFont val="Tahoma"/>
            <family val="2"/>
          </rPr>
          <t>Errors:
- You have not provided an entry in 'Category'. (128)
Warnings:
- You have not entered a Scope Reference, which is recommended. (1024)</t>
        </r>
      </text>
    </comment>
    <comment ref="B31" authorId="1" shapeId="0" xr:uid="{00000000-0006-0000-0400-00001F000000}">
      <text>
        <r>
          <rPr>
            <sz val="8"/>
            <color indexed="81"/>
            <rFont val="Tahoma"/>
            <family val="2"/>
          </rPr>
          <t>Errors:
- You have not provided an entry in 'Category'. (128)
Warnings:
- You have not entered a Scope Reference, which is recommended. (1024)</t>
        </r>
      </text>
    </comment>
    <comment ref="B32" authorId="1" shapeId="0" xr:uid="{00000000-0006-0000-0400-000020000000}">
      <text>
        <r>
          <rPr>
            <sz val="8"/>
            <color indexed="81"/>
            <rFont val="Tahoma"/>
            <family val="2"/>
          </rPr>
          <t>Errors:
- You have not provided an entry in 'Category'. (128)
Warnings:
- You have not entered a Scope Reference, which is recommended. (1024)</t>
        </r>
      </text>
    </comment>
    <comment ref="B33" authorId="1" shapeId="0" xr:uid="{00000000-0006-0000-0400-000021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34" authorId="1" shapeId="0" xr:uid="{00000000-0006-0000-0400-000022000000}">
      <text>
        <r>
          <rPr>
            <sz val="8"/>
            <color indexed="81"/>
            <rFont val="Tahoma"/>
            <family val="2"/>
          </rPr>
          <t>Errors:
- You have not provided an entry in 'Category'. (128)
Warnings:
- You have not entered a Scope Reference, which is recommended. (1024)</t>
        </r>
      </text>
    </comment>
    <comment ref="B35" authorId="1" shapeId="0" xr:uid="{00000000-0006-0000-0400-000023000000}">
      <text>
        <r>
          <rPr>
            <sz val="8"/>
            <color indexed="81"/>
            <rFont val="Tahoma"/>
            <family val="2"/>
          </rPr>
          <t>Errors:
- You have not provided an entry in 'Category'. (128)
Warnings:
- You have not entered a Scope Reference, which is recommended. (1024)</t>
        </r>
      </text>
    </comment>
    <comment ref="B36" authorId="1" shapeId="0" xr:uid="{00000000-0006-0000-0400-000024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37" authorId="1" shapeId="0" xr:uid="{00000000-0006-0000-0400-000025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38" authorId="1" shapeId="0" xr:uid="{00000000-0006-0000-0400-000026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39" authorId="1" shapeId="0" xr:uid="{00000000-0006-0000-0400-000027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0" authorId="1" shapeId="0" xr:uid="{00000000-0006-0000-0400-000028000000}">
      <text>
        <r>
          <rPr>
            <sz val="8"/>
            <color indexed="81"/>
            <rFont val="Tahoma"/>
            <family val="2"/>
          </rPr>
          <t>Errors:
- You have not provided an entry in 'Category'. (128)
Warnings:
- You have not entered a Scope Reference, which is recommended. (1024)</t>
        </r>
      </text>
    </comment>
    <comment ref="B49" authorId="1" shapeId="0" xr:uid="{00000000-0006-0000-0400-000029000000}">
      <text>
        <r>
          <rPr>
            <sz val="8"/>
            <color indexed="81"/>
            <rFont val="Tahoma"/>
            <family val="2"/>
          </rPr>
          <t>Errors:
- The 'Multiplier' cannot be smaller than 1. (524288)
- You have not provided an entry in 'Category'. (128)
Warnings:
- You have not entered a Scope Reference, which is recommended. (1024)
- You have not provided an entry in 'ABP' (1048576)
- You have not provided an entry in 'HP' (2097152)
- You have not provided an entry in 'Multiplier' (4194304)</t>
        </r>
      </text>
    </comment>
    <comment ref="B54" authorId="1" shapeId="0" xr:uid="{00000000-0006-0000-0400-00002A000000}">
      <text>
        <r>
          <rPr>
            <sz val="8"/>
            <color indexed="81"/>
            <rFont val="Tahoma"/>
            <family val="2"/>
          </rPr>
          <t>Errors:
- You have not provided an entry in 'Category'. (128)
Warnings:
- You have not entered a Scope Reference, which is recommended. (1024)</t>
        </r>
      </text>
    </comment>
    <comment ref="B58" authorId="1" shapeId="0" xr:uid="{00000000-0006-0000-0400-00002B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67" authorId="1" shapeId="0" xr:uid="{00000000-0006-0000-0400-00002C000000}">
      <text>
        <r>
          <rPr>
            <sz val="8"/>
            <color indexed="81"/>
            <rFont val="Tahoma"/>
            <family val="2"/>
          </rPr>
          <t>Errors:
- You have not provided an entry in 'Category'. (128)
Warnings:
- You have not entered a Scope Reference, which is recommended. (1024)</t>
        </r>
      </text>
    </comment>
    <comment ref="B68" authorId="1" shapeId="0" xr:uid="{00000000-0006-0000-0400-00002D000000}">
      <text>
        <r>
          <rPr>
            <sz val="8"/>
            <color indexed="81"/>
            <rFont val="Tahoma"/>
            <family val="2"/>
          </rPr>
          <t>Errors:
- You have not provided an entry in 'Category'. (128)
Warnings:
- You have not entered a Scope Reference, which is recommended. (1024)</t>
        </r>
      </text>
    </comment>
    <comment ref="B69" authorId="1" shapeId="0" xr:uid="{00000000-0006-0000-0400-00002E000000}">
      <text>
        <r>
          <rPr>
            <sz val="8"/>
            <color indexed="81"/>
            <rFont val="Tahoma"/>
            <family val="2"/>
          </rPr>
          <t>Errors:
- You have not provided an entry in 'Category'. (128)
Warnings:
- You have not entered a Scope Reference, which is recommended. (1024)</t>
        </r>
      </text>
    </comment>
    <comment ref="B70" authorId="1" shapeId="0" xr:uid="{00000000-0006-0000-0400-00002F000000}">
      <text>
        <r>
          <rPr>
            <sz val="8"/>
            <color indexed="81"/>
            <rFont val="Tahoma"/>
            <family val="2"/>
          </rPr>
          <t>Errors:
- You have not provided an entry in 'Category'. (128)
Warnings:
- You have not entered a Scope Reference, which is recommended. (1024)</t>
        </r>
      </text>
    </comment>
    <comment ref="B71" authorId="1" shapeId="0" xr:uid="{00000000-0006-0000-0400-000030000000}">
      <text>
        <r>
          <rPr>
            <sz val="8"/>
            <color indexed="81"/>
            <rFont val="Tahoma"/>
            <family val="2"/>
          </rPr>
          <t>Errors:
- You have not provided an entry in 'Category'. (128)
Warnings:
- You have not entered a Scope Reference, which is recommended. (1024)</t>
        </r>
      </text>
    </comment>
    <comment ref="B72" authorId="1" shapeId="0" xr:uid="{00000000-0006-0000-0400-000031000000}">
      <text>
        <r>
          <rPr>
            <sz val="8"/>
            <color indexed="81"/>
            <rFont val="Tahoma"/>
            <family val="2"/>
          </rPr>
          <t>Errors:
- You have not provided an entry in 'Category'. (128)
Warnings:
- You have not entered a Scope Reference, which is recommended. (1024)</t>
        </r>
      </text>
    </comment>
    <comment ref="B73" authorId="1" shapeId="0" xr:uid="{00000000-0006-0000-0400-000032000000}">
      <text>
        <r>
          <rPr>
            <sz val="8"/>
            <color indexed="81"/>
            <rFont val="Tahoma"/>
            <family val="2"/>
          </rPr>
          <t>Errors:
- You have not provided an entry in 'Category'. (128)
Warnings:
- You have not entered a Scope Reference, which is recommended. (1024)</t>
        </r>
      </text>
    </comment>
    <comment ref="B75" authorId="1" shapeId="0" xr:uid="{00000000-0006-0000-0400-000033000000}">
      <text>
        <r>
          <rPr>
            <sz val="8"/>
            <color indexed="81"/>
            <rFont val="Tahoma"/>
            <family val="2"/>
          </rPr>
          <t>Errors:
- You have not provided an entry in 'Category'. (128)
Warnings:
- You have not entered a Scope Reference, which is recommended. (1024)</t>
        </r>
      </text>
    </comment>
    <comment ref="B76" authorId="1" shapeId="0" xr:uid="{00000000-0006-0000-0400-000034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77" authorId="1" shapeId="0" xr:uid="{00000000-0006-0000-0400-000035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78" authorId="1" shapeId="0" xr:uid="{00000000-0006-0000-0400-000036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90" authorId="1" shapeId="0" xr:uid="{00000000-0006-0000-0400-000037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91" authorId="1" shapeId="0" xr:uid="{00000000-0006-0000-0400-000038000000}">
      <text>
        <r>
          <rPr>
            <sz val="8"/>
            <color indexed="81"/>
            <rFont val="Tahoma"/>
            <family val="2"/>
          </rPr>
          <t>Errors:
- You have not provided an entry in 'Category'. (128)
Warnings:
- You have not entered a Scope Reference, which is recommended. (1024)</t>
        </r>
      </text>
    </comment>
    <comment ref="B93" authorId="1" shapeId="0" xr:uid="{00000000-0006-0000-0400-000039000000}">
      <text>
        <r>
          <rPr>
            <sz val="8"/>
            <color indexed="81"/>
            <rFont val="Tahoma"/>
            <family val="2"/>
          </rPr>
          <t>Errors:
- You have not provided an entry in 'Category'. (128)
Warnings:
- You have not entered a Scope Reference, which is recommended. (1024)</t>
        </r>
      </text>
    </comment>
    <comment ref="B94" authorId="1" shapeId="0" xr:uid="{00000000-0006-0000-0400-00003A000000}">
      <text>
        <r>
          <rPr>
            <sz val="8"/>
            <color indexed="81"/>
            <rFont val="Tahoma"/>
            <family val="2"/>
          </rPr>
          <t>Errors:
- You have not provided an entry in 'Category'. (128)
Warnings:
- You have not entered a Scope Reference, which is recommended. (1024)</t>
        </r>
      </text>
    </comment>
    <comment ref="B95" authorId="1" shapeId="0" xr:uid="{00000000-0006-0000-0400-00003B000000}">
      <text>
        <r>
          <rPr>
            <sz val="8"/>
            <color indexed="81"/>
            <rFont val="Tahoma"/>
            <family val="2"/>
          </rPr>
          <t>Errors:
- You have not provided an entry in 'Category'. (128)
Warnings:
- You have not entered a Scope Reference, which is recommended. (1024)</t>
        </r>
      </text>
    </comment>
    <comment ref="B105" authorId="1" shapeId="0" xr:uid="{00000000-0006-0000-0400-00003C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106" authorId="1" shapeId="0" xr:uid="{00000000-0006-0000-0400-00003D000000}">
      <text>
        <r>
          <rPr>
            <sz val="8"/>
            <color indexed="81"/>
            <rFont val="Tahoma"/>
            <family val="2"/>
          </rPr>
          <t>Errors:
- You have not provided an entry in 'Category'. (128)
Warnings:
- You have not entered a Scope Reference, which is recommended. (1024)</t>
        </r>
      </text>
    </comment>
    <comment ref="B107" authorId="1" shapeId="0" xr:uid="{00000000-0006-0000-0400-00003E000000}">
      <text>
        <r>
          <rPr>
            <sz val="8"/>
            <color indexed="81"/>
            <rFont val="Tahoma"/>
            <family val="2"/>
          </rPr>
          <t>Errors:
- You have not provided an entry in 'Category'. (128)
Warnings:
- You have not entered a Scope Reference, which is recommended. (1024)</t>
        </r>
      </text>
    </comment>
    <comment ref="B108" authorId="1" shapeId="0" xr:uid="{00000000-0006-0000-0400-00003F000000}">
      <text>
        <r>
          <rPr>
            <sz val="8"/>
            <color indexed="81"/>
            <rFont val="Tahoma"/>
            <family val="2"/>
          </rPr>
          <t>Errors:
- You have not provided an entry in 'Category'. (128)
Warnings:
- You have not entered a Scope Reference, which is recommended. (1024)</t>
        </r>
      </text>
    </comment>
    <comment ref="B109" authorId="1" shapeId="0" xr:uid="{00000000-0006-0000-0400-000040000000}">
      <text>
        <r>
          <rPr>
            <sz val="8"/>
            <color indexed="81"/>
            <rFont val="Tahoma"/>
            <family val="2"/>
          </rPr>
          <t>Errors:
- You have not provided an entry in 'Category'. (128)
Warnings:
- You have not entered a Scope Reference, which is recommended. (1024)</t>
        </r>
      </text>
    </comment>
    <comment ref="B110" authorId="1" shapeId="0" xr:uid="{00000000-0006-0000-0400-000041000000}">
      <text>
        <r>
          <rPr>
            <sz val="8"/>
            <color indexed="81"/>
            <rFont val="Tahoma"/>
            <family val="2"/>
          </rPr>
          <t>Errors:
- You have not provided an entry in 'Category'. (128)
Warnings:
- You have not entered a Scope Reference, which is recommended. (1024)</t>
        </r>
      </text>
    </comment>
    <comment ref="B129" authorId="1" shapeId="0" xr:uid="{00000000-0006-0000-0400-000042000000}">
      <text>
        <r>
          <rPr>
            <sz val="8"/>
            <color indexed="81"/>
            <rFont val="Tahoma"/>
            <family val="2"/>
          </rPr>
          <t>Errors:
- You have not provided an entry in 'Story Name'. (64)
Warnings:
- You have not entered a Scope Reference, which is recommended. (1024)
- You have not provided an entry in 'ABP' (1048576)
- You have not provided an entry in 'HP' (2097152)</t>
        </r>
      </text>
    </comment>
    <comment ref="B130" authorId="1" shapeId="0" xr:uid="{00000000-0006-0000-0400-000043000000}">
      <text>
        <r>
          <rPr>
            <sz val="8"/>
            <color indexed="81"/>
            <rFont val="Tahoma"/>
            <family val="2"/>
          </rPr>
          <t>Errors:
- You have not provided an entry in 'Category'. (128)
Warnings:
- You have not entered a Scope Reference, which is recommended. (1024)</t>
        </r>
      </text>
    </comment>
    <comment ref="B131" authorId="1" shapeId="0" xr:uid="{00000000-0006-0000-0400-000044000000}">
      <text>
        <r>
          <rPr>
            <sz val="8"/>
            <color indexed="81"/>
            <rFont val="Tahoma"/>
            <family val="2"/>
          </rPr>
          <t>Errors:
- The 'Multiplier' cannot be smaller than 1. (524288)
- You have not provided an entry in 'Category'. (128)
Warnings:
- You have not entered a Scope Reference, which is recommended. (1024)
- You have not provided an entry in 'ABP' (1048576)
- You have not provided an entry in 'HP' (2097152)
- You have not provided an entry in 'Multiplier' (4194304)</t>
        </r>
      </text>
    </comment>
    <comment ref="B132" authorId="1" shapeId="0" xr:uid="{00000000-0006-0000-0400-000045000000}">
      <text>
        <r>
          <rPr>
            <sz val="8"/>
            <color indexed="81"/>
            <rFont val="Tahoma"/>
            <family val="2"/>
          </rPr>
          <t>Errors:
- You have not provided an entry in 'Category'. (128)
Warnings:
- You have not entered a Scope Reference, which is recommended. (1024)</t>
        </r>
      </text>
    </comment>
    <comment ref="B133" authorId="1" shapeId="0" xr:uid="{00000000-0006-0000-0400-000046000000}">
      <text>
        <r>
          <rPr>
            <sz val="8"/>
            <color indexed="81"/>
            <rFont val="Tahoma"/>
            <family val="2"/>
          </rPr>
          <t>Errors:
- You have not provided an entry in 'Category'. (128)
Warnings:
- You have not entered a Scope Reference, which is recommended. (1024)</t>
        </r>
      </text>
    </comment>
    <comment ref="B134" authorId="1" shapeId="0" xr:uid="{00000000-0006-0000-0400-000047000000}">
      <text>
        <r>
          <rPr>
            <sz val="8"/>
            <color indexed="81"/>
            <rFont val="Tahoma"/>
            <family val="2"/>
          </rPr>
          <t>Errors:
- You have not provided an entry in 'Category'. (128)
Warnings:
- You have not entered a Scope Reference, which is recommended. (1024)</t>
        </r>
      </text>
    </comment>
    <comment ref="B135" authorId="1" shapeId="0" xr:uid="{00000000-0006-0000-0400-000048000000}">
      <text>
        <r>
          <rPr>
            <sz val="8"/>
            <color indexed="81"/>
            <rFont val="Tahoma"/>
            <family val="2"/>
          </rPr>
          <t>Errors:
- You have not provided an entry in 'Category'. (128)
Warnings:
- You have not entered a Scope Reference, which is recommended. (1024)</t>
        </r>
      </text>
    </comment>
    <comment ref="B136" authorId="1" shapeId="0" xr:uid="{00000000-0006-0000-0400-000049000000}">
      <text>
        <r>
          <rPr>
            <sz val="8"/>
            <color indexed="81"/>
            <rFont val="Tahoma"/>
            <family val="2"/>
          </rPr>
          <t>Errors:
- You have not provided an entry in 'Category'. (128)
Warnings:
- You have not entered a Scope Reference, which is recommended. (1024)</t>
        </r>
      </text>
    </comment>
    <comment ref="B137" authorId="1" shapeId="0" xr:uid="{00000000-0006-0000-0400-00004A000000}">
      <text>
        <r>
          <rPr>
            <sz val="8"/>
            <color indexed="81"/>
            <rFont val="Tahoma"/>
            <family val="2"/>
          </rPr>
          <t>Errors:
- You have not provided an entry in 'Category'. (128)
Warnings:
- You have not entered a Scope Reference, which is recommended. (1024)</t>
        </r>
      </text>
    </comment>
    <comment ref="B138" authorId="1" shapeId="0" xr:uid="{00000000-0006-0000-0400-00004B000000}">
      <text>
        <r>
          <rPr>
            <sz val="8"/>
            <color indexed="81"/>
            <rFont val="Tahoma"/>
            <family val="2"/>
          </rPr>
          <t>Errors:
- You have not provided an entry in 'Category'. (128)
Warnings:
- You have not entered a Scope Reference, which is recommended. (1024)</t>
        </r>
      </text>
    </comment>
    <comment ref="B139" authorId="1" shapeId="0" xr:uid="{00000000-0006-0000-0400-00004C000000}">
      <text>
        <r>
          <rPr>
            <sz val="8"/>
            <color indexed="81"/>
            <rFont val="Tahoma"/>
            <family val="2"/>
          </rPr>
          <t>Errors:
- You have not provided an entry in 'Category'. (128)
Warnings:
- You have not entered a Scope Reference, which is recommended. (1024)</t>
        </r>
      </text>
    </comment>
    <comment ref="B140" authorId="1" shapeId="0" xr:uid="{00000000-0006-0000-0400-00004D000000}">
      <text>
        <r>
          <rPr>
            <sz val="8"/>
            <color indexed="81"/>
            <rFont val="Tahoma"/>
            <family val="2"/>
          </rPr>
          <t>Errors:
- You have not provided an entry in 'Category'. (128)
Warnings:
- You have not entered a Scope Reference, which is recommended. (1024)</t>
        </r>
      </text>
    </comment>
    <comment ref="B141" authorId="1" shapeId="0" xr:uid="{00000000-0006-0000-0400-00004E000000}">
      <text>
        <r>
          <rPr>
            <sz val="8"/>
            <color indexed="81"/>
            <rFont val="Tahoma"/>
            <family val="2"/>
          </rPr>
          <t>Errors:
- You have not provided an entry in 'Category'. (128)
Warnings:
- You have not entered a Scope Reference, which is recommended. (1024)</t>
        </r>
      </text>
    </comment>
    <comment ref="B142" authorId="1" shapeId="0" xr:uid="{00000000-0006-0000-0400-00004F000000}">
      <text>
        <r>
          <rPr>
            <sz val="8"/>
            <color indexed="81"/>
            <rFont val="Tahoma"/>
            <family val="2"/>
          </rPr>
          <t>Errors:
- You have not provided an entry in 'Category'. (128)
Warnings:
- You have not entered a Scope Reference, which is recommended. (1024)</t>
        </r>
      </text>
    </comment>
    <comment ref="B143" authorId="1" shapeId="0" xr:uid="{00000000-0006-0000-0400-000050000000}">
      <text>
        <r>
          <rPr>
            <sz val="8"/>
            <color indexed="81"/>
            <rFont val="Tahoma"/>
            <family val="2"/>
          </rPr>
          <t>Errors:
- You have not provided an entry in 'Category'. (128)
Warnings:
- You have not entered a Scope Reference, which is recommended. (1024)</t>
        </r>
      </text>
    </comment>
    <comment ref="B144" authorId="1" shapeId="0" xr:uid="{00000000-0006-0000-0400-000051000000}">
      <text>
        <r>
          <rPr>
            <sz val="8"/>
            <color indexed="81"/>
            <rFont val="Tahoma"/>
            <family val="2"/>
          </rPr>
          <t>Errors:
- You have not provided an entry in 'Category'. (128)
Warnings:
- You have not entered a Scope Reference, which is recommended. (1024)</t>
        </r>
      </text>
    </comment>
    <comment ref="B145" authorId="1" shapeId="0" xr:uid="{00000000-0006-0000-0400-000052000000}">
      <text>
        <r>
          <rPr>
            <sz val="8"/>
            <color indexed="81"/>
            <rFont val="Tahoma"/>
            <family val="2"/>
          </rPr>
          <t>Errors:
- You have not provided an entry in 'Category'. (128)
Warnings:
- You have not entered a Scope Reference, which is recommended. (1024)</t>
        </r>
      </text>
    </comment>
    <comment ref="B146" authorId="1" shapeId="0" xr:uid="{00000000-0006-0000-0400-000053000000}">
      <text>
        <r>
          <rPr>
            <sz val="8"/>
            <color indexed="81"/>
            <rFont val="Tahoma"/>
            <family val="2"/>
          </rPr>
          <t>Errors:
- You have not provided an entry in 'Category'. (128)
Warnings:
- You have not entered a Scope Reference, which is recommended. (1024)</t>
        </r>
      </text>
    </comment>
    <comment ref="B147" authorId="1" shapeId="0" xr:uid="{00000000-0006-0000-0400-000054000000}">
      <text>
        <r>
          <rPr>
            <sz val="8"/>
            <color indexed="81"/>
            <rFont val="Tahoma"/>
            <family val="2"/>
          </rPr>
          <t>Errors:
- You have not provided an entry in 'Category'. (128)
Warnings:
- You have not entered a Scope Reference, which is recommended. (1024)</t>
        </r>
      </text>
    </comment>
    <comment ref="B148" authorId="1" shapeId="0" xr:uid="{00000000-0006-0000-0400-000055000000}">
      <text>
        <r>
          <rPr>
            <sz val="8"/>
            <color indexed="81"/>
            <rFont val="Tahoma"/>
            <family val="2"/>
          </rPr>
          <t>Errors:
- You have not provided an entry in 'Category'. (128)
Warnings:
- You have not entered a Scope Reference, which is recommended. (1024)</t>
        </r>
      </text>
    </comment>
    <comment ref="B149" authorId="1" shapeId="0" xr:uid="{00000000-0006-0000-0400-000056000000}">
      <text>
        <r>
          <rPr>
            <sz val="8"/>
            <color indexed="81"/>
            <rFont val="Tahoma"/>
            <family val="2"/>
          </rPr>
          <t>Errors:
- You have not provided an entry in 'Category'. (128)
Warnings:
- You have not entered a Scope Reference, which is recommended. (1024)</t>
        </r>
      </text>
    </comment>
    <comment ref="B151" authorId="1" shapeId="0" xr:uid="{00000000-0006-0000-0400-000057000000}">
      <text>
        <r>
          <rPr>
            <sz val="8"/>
            <color indexed="81"/>
            <rFont val="Tahoma"/>
            <family val="2"/>
          </rPr>
          <t>Warnings:
- You have not entered a Scope Reference, which is recommended. (1024)</t>
        </r>
      </text>
    </comment>
    <comment ref="B152" authorId="1" shapeId="0" xr:uid="{00000000-0006-0000-0400-000058000000}">
      <text>
        <r>
          <rPr>
            <sz val="8"/>
            <color indexed="81"/>
            <rFont val="Tahoma"/>
            <family val="2"/>
          </rPr>
          <t>Warnings:
- You have not entered a Scope Reference, which is recommended. (1024)</t>
        </r>
      </text>
    </comment>
    <comment ref="B165" authorId="1" shapeId="0" xr:uid="{00000000-0006-0000-0400-000059000000}">
      <text>
        <r>
          <rPr>
            <sz val="8"/>
            <color indexed="81"/>
            <rFont val="Tahoma"/>
            <family val="2"/>
          </rPr>
          <t>Warnings:
- You have not entered a Scope Reference, which is recommended. (1024)</t>
        </r>
      </text>
    </comment>
    <comment ref="B166" authorId="1" shapeId="0" xr:uid="{00000000-0006-0000-0400-00005A000000}">
      <text>
        <r>
          <rPr>
            <sz val="8"/>
            <color indexed="81"/>
            <rFont val="Tahoma"/>
            <family val="2"/>
          </rPr>
          <t>Warnings:
- You have not entered a Scope Reference, which is recommended. (1024)</t>
        </r>
      </text>
    </comment>
    <comment ref="B167" authorId="1" shapeId="0" xr:uid="{00000000-0006-0000-0400-00005B000000}">
      <text>
        <r>
          <rPr>
            <sz val="8"/>
            <color indexed="81"/>
            <rFont val="Tahoma"/>
            <family val="2"/>
          </rPr>
          <t>Warnings:
- You have not entered a Scope Reference, which is recommended. (1024)</t>
        </r>
      </text>
    </comment>
    <comment ref="B168" authorId="1" shapeId="0" xr:uid="{00000000-0006-0000-0400-00005C000000}">
      <text>
        <r>
          <rPr>
            <sz val="8"/>
            <color indexed="81"/>
            <rFont val="Tahoma"/>
            <family val="2"/>
          </rPr>
          <t>Warnings:
- You have not entered a Scope Reference, which is recommended. (1024)</t>
        </r>
      </text>
    </comment>
    <comment ref="B169" authorId="1" shapeId="0" xr:uid="{00000000-0006-0000-0400-00005D000000}">
      <text>
        <r>
          <rPr>
            <sz val="8"/>
            <color indexed="81"/>
            <rFont val="Tahoma"/>
            <family val="2"/>
          </rPr>
          <t>Warnings:
- You have not entered a Scope Reference, which is recommended. (1024)</t>
        </r>
      </text>
    </comment>
    <comment ref="B170" authorId="1" shapeId="0" xr:uid="{00000000-0006-0000-0400-00005E000000}">
      <text>
        <r>
          <rPr>
            <sz val="8"/>
            <color indexed="81"/>
            <rFont val="Tahoma"/>
            <family val="2"/>
          </rPr>
          <t>Warnings:
- You have not entered a Scope Reference, which is recommended. (1024)</t>
        </r>
      </text>
    </comment>
    <comment ref="B171" authorId="1" shapeId="0" xr:uid="{00000000-0006-0000-0400-00005F000000}">
      <text>
        <r>
          <rPr>
            <sz val="8"/>
            <color indexed="81"/>
            <rFont val="Tahoma"/>
            <family val="2"/>
          </rPr>
          <t>Warnings:
- You have not entered a Scope Reference, which is recommended. (1024)</t>
        </r>
      </text>
    </comment>
    <comment ref="B172" authorId="1" shapeId="0" xr:uid="{00000000-0006-0000-0400-000060000000}">
      <text>
        <r>
          <rPr>
            <sz val="8"/>
            <color indexed="81"/>
            <rFont val="Tahoma"/>
            <family val="2"/>
          </rPr>
          <t>Errors:
- The 'ABP' is not a multiple of '0.25'. (8192)
- The 'HP' is not a multiple of '0.25'. (16384)
Warnings:
- You have not entered a Scope Reference, which is recommended. (1024)</t>
        </r>
      </text>
    </comment>
    <comment ref="B173" authorId="1" shapeId="0" xr:uid="{00000000-0006-0000-0400-000061000000}">
      <text>
        <r>
          <rPr>
            <sz val="8"/>
            <color indexed="81"/>
            <rFont val="Tahoma"/>
            <family val="2"/>
          </rPr>
          <t>Errors:
- The 'ABP' is not a multiple of '0.25'. (8192)
- The 'HP' is not a multiple of '0.25'. (16384)
Warnings:
- You have not entered a Scope Reference, which is recommended. (1024)</t>
        </r>
      </text>
    </comment>
    <comment ref="B174" authorId="1" shapeId="0" xr:uid="{00000000-0006-0000-0400-000062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175" authorId="1" shapeId="0" xr:uid="{00000000-0006-0000-0400-000063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176" authorId="1" shapeId="0" xr:uid="{00000000-0006-0000-0400-00006400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195" authorId="1" shapeId="0" xr:uid="{00000000-0006-0000-0400-000065000000}">
      <text>
        <r>
          <rPr>
            <sz val="8"/>
            <color indexed="81"/>
            <rFont val="Tahoma"/>
            <family val="2"/>
          </rPr>
          <t>Warnings:
- You have not entered a Scope Reference, which is recommended. (1024)
- You have not provided an entry in 'ABP' (1048576)
- You have not provided an entry in 'HP' (2097152)</t>
        </r>
      </text>
    </comment>
    <comment ref="B196" authorId="1" shapeId="0" xr:uid="{00000000-0006-0000-0400-000066000000}">
      <text>
        <r>
          <rPr>
            <sz val="8"/>
            <color indexed="81"/>
            <rFont val="Tahoma"/>
            <family val="2"/>
          </rPr>
          <t>Warnings:
- You have not entered a Scope Reference, which is recommended. (1024)</t>
        </r>
      </text>
    </comment>
    <comment ref="B197" authorId="1" shapeId="0" xr:uid="{00000000-0006-0000-0400-000067000000}">
      <text>
        <r>
          <rPr>
            <sz val="8"/>
            <color indexed="81"/>
            <rFont val="Tahoma"/>
            <family val="2"/>
          </rPr>
          <t>Errors:
- The 'ABP' is not a multiple of '0.25'. (8192)
Warnings:
- You have not entered a Scope Reference, which is recommended. (1024)</t>
        </r>
      </text>
    </comment>
    <comment ref="B198" authorId="1" shapeId="0" xr:uid="{00000000-0006-0000-0400-000068000000}">
      <text>
        <r>
          <rPr>
            <sz val="8"/>
            <color indexed="81"/>
            <rFont val="Tahoma"/>
            <family val="2"/>
          </rPr>
          <t>Errors:
- The 'ABP' is not a multiple of '0.25'. (8192)
Warnings:
- You have not entered a Scope Reference, which is recommended. (1024)</t>
        </r>
      </text>
    </comment>
    <comment ref="B199" authorId="1" shapeId="0" xr:uid="{00000000-0006-0000-0400-000069000000}">
      <text>
        <r>
          <rPr>
            <sz val="8"/>
            <color indexed="81"/>
            <rFont val="Tahoma"/>
            <family val="2"/>
          </rPr>
          <t>Errors:
- The 'ABP' is not a multiple of '0.25'. (8192)
Warnings:
- You have not entered a Scope Reference, which is recommended. (1024)</t>
        </r>
      </text>
    </comment>
    <comment ref="B200" authorId="1" shapeId="0" xr:uid="{00000000-0006-0000-0400-00006A000000}">
      <text>
        <r>
          <rPr>
            <sz val="8"/>
            <color indexed="81"/>
            <rFont val="Tahoma"/>
            <family val="2"/>
          </rPr>
          <t>Errors:
- The 'ABP' is not a multiple of '0.25'. (8192)
- The 'HP' is not a multiple of '0.25'. (16384)
Warnings:
- You have not entered a Scope Reference, which is recommended. (1024)</t>
        </r>
      </text>
    </comment>
    <comment ref="B201" authorId="1" shapeId="0" xr:uid="{00000000-0006-0000-0400-00006B000000}">
      <text>
        <r>
          <rPr>
            <sz val="8"/>
            <color indexed="81"/>
            <rFont val="Tahoma"/>
            <family val="2"/>
          </rPr>
          <t>Errors:
- The 'ABP' is not a multiple of '0.25'. (8192)
- The 'HP' is not a multiple of '0.25'. (16384)
Warnings:
- You have not entered a Scope Reference, which is recommended. (1024)</t>
        </r>
      </text>
    </comment>
    <comment ref="B202" authorId="1" shapeId="0" xr:uid="{00000000-0006-0000-0400-00006C000000}">
      <text>
        <r>
          <rPr>
            <sz val="8"/>
            <color indexed="81"/>
            <rFont val="Tahoma"/>
            <family val="2"/>
          </rPr>
          <t>Errors:
- The 'ABP' is not a multiple of '0.25'. (8192)
- The 'HP' is not a multiple of '0.25'. (16384)
Warnings:
- You have not entered a Scope Reference, which is recommended. (1024)</t>
        </r>
      </text>
    </comment>
    <comment ref="B203" authorId="1" shapeId="0" xr:uid="{00000000-0006-0000-0400-00006D000000}">
      <text>
        <r>
          <rPr>
            <sz val="8"/>
            <color indexed="81"/>
            <rFont val="Tahoma"/>
            <family val="2"/>
          </rPr>
          <t>Errors:
- The 'ABP' is not a multiple of '0.25'. (8192)
- The 'HP' is not a multiple of '0.25'. (16384)
Warnings:
- You have not entered a Scope Reference, which is recommended. (1024)</t>
        </r>
      </text>
    </comment>
    <comment ref="B204" authorId="1" shapeId="0" xr:uid="{00000000-0006-0000-0400-00006E000000}">
      <text>
        <r>
          <rPr>
            <sz val="8"/>
            <color indexed="81"/>
            <rFont val="Tahoma"/>
            <family val="2"/>
          </rPr>
          <t>Errors:
- The 'ABP' is not a multiple of '0.25'. (8192)
- The 'HP' is not a multiple of '0.25'. (16384)
Warnings:
- You have not entered a Scope Reference, which is recommended. (1024)</t>
        </r>
      </text>
    </comment>
    <comment ref="B205" authorId="1" shapeId="0" xr:uid="{00000000-0006-0000-0400-00006F000000}">
      <text>
        <r>
          <rPr>
            <sz val="8"/>
            <color indexed="81"/>
            <rFont val="Tahoma"/>
            <family val="2"/>
          </rPr>
          <t>Errors:
- The 'ABP' is not a multiple of '0.25'. (8192)
Warnings:
- You have not entered a Scope Reference, which is recommended. (1024)</t>
        </r>
      </text>
    </comment>
    <comment ref="B206" authorId="1" shapeId="0" xr:uid="{00000000-0006-0000-0400-000070000000}">
      <text>
        <r>
          <rPr>
            <sz val="8"/>
            <color indexed="81"/>
            <rFont val="Tahoma"/>
            <family val="2"/>
          </rPr>
          <t>Errors:
- The 'ABP' is not a multiple of '0.25'. (8192)
Warnings:
- You have not entered a Scope Reference, which is recommended. (1024)</t>
        </r>
      </text>
    </comment>
    <comment ref="B207" authorId="1" shapeId="0" xr:uid="{00000000-0006-0000-0400-000071000000}">
      <text>
        <r>
          <rPr>
            <sz val="8"/>
            <color indexed="81"/>
            <rFont val="Tahoma"/>
            <family val="2"/>
          </rPr>
          <t>Errors:
- The 'ABP' is not a multiple of '0.25'. (8192)
Warnings:
- You have not entered a Scope Reference, which is recommended. (1024)</t>
        </r>
      </text>
    </comment>
    <comment ref="B208" authorId="1" shapeId="0" xr:uid="{00000000-0006-0000-0400-000072000000}">
      <text>
        <r>
          <rPr>
            <sz val="8"/>
            <color indexed="81"/>
            <rFont val="Tahoma"/>
            <family val="2"/>
          </rPr>
          <t>Errors:
- The 'ABP' is not a multiple of '0.25'. (8192)
Warnings:
- You have not entered a Scope Reference, which is recommended. (1024)</t>
        </r>
      </text>
    </comment>
    <comment ref="B209" authorId="1" shapeId="0" xr:uid="{00000000-0006-0000-0400-000073000000}">
      <text>
        <r>
          <rPr>
            <sz val="8"/>
            <color indexed="81"/>
            <rFont val="Tahoma"/>
            <family val="2"/>
          </rPr>
          <t>Errors:
- The 'ABP' is not a multiple of '0.25'. (8192)
Warnings:
- You have not entered a Scope Reference, which is recommended. (1024)</t>
        </r>
      </text>
    </comment>
    <comment ref="B210" authorId="1" shapeId="0" xr:uid="{00000000-0006-0000-0400-000074000000}">
      <text>
        <r>
          <rPr>
            <sz val="8"/>
            <color indexed="81"/>
            <rFont val="Tahoma"/>
            <family val="2"/>
          </rPr>
          <t>Warnings:
- You have not entered a Scope Reference, which is recommended. (1024)
- You have not provided an entry in 'ABP' (1048576)
- You have not provided an entry in 'HP' (2097152)</t>
        </r>
      </text>
    </comment>
    <comment ref="B211" authorId="1" shapeId="0" xr:uid="{00000000-0006-0000-0400-000075000000}">
      <text>
        <r>
          <rPr>
            <sz val="8"/>
            <color indexed="81"/>
            <rFont val="Tahoma"/>
            <family val="2"/>
          </rPr>
          <t>Errors:
- The 'ABP' is not a multiple of '0.25'. (8192)
- The 'HP' is not a multiple of '0.25'. (16384)
Warnings:
- You have not entered a Scope Reference, which is recommended. (1024)</t>
        </r>
      </text>
    </comment>
    <comment ref="B212" authorId="1" shapeId="0" xr:uid="{00000000-0006-0000-0400-000076000000}">
      <text>
        <r>
          <rPr>
            <sz val="8"/>
            <color indexed="81"/>
            <rFont val="Tahoma"/>
            <family val="2"/>
          </rPr>
          <t>Warnings:
- You have not entered a Scope Reference, which is recommended. (1024)</t>
        </r>
      </text>
    </comment>
    <comment ref="B213" authorId="1" shapeId="0" xr:uid="{00000000-0006-0000-0400-000077000000}">
      <text>
        <r>
          <rPr>
            <sz val="8"/>
            <color indexed="81"/>
            <rFont val="Tahoma"/>
            <family val="2"/>
          </rPr>
          <t>Warnings:
- You have not entered a Scope Reference, which is recommended. (1024)</t>
        </r>
      </text>
    </comment>
    <comment ref="B214" authorId="1" shapeId="0" xr:uid="{00000000-0006-0000-0400-000078000000}">
      <text>
        <r>
          <rPr>
            <sz val="8"/>
            <color indexed="81"/>
            <rFont val="Tahoma"/>
            <family val="2"/>
          </rPr>
          <t>Errors:
- The 'ABP' is not a multiple of '0.25'. (8192)
- The 'HP' is not a multiple of '0.25'. (16384)
Warnings:
- You have not entered a Scope Reference, which is recommended. (1024)</t>
        </r>
      </text>
    </comment>
    <comment ref="B215" authorId="1" shapeId="0" xr:uid="{00000000-0006-0000-0400-000079000000}">
      <text>
        <r>
          <rPr>
            <sz val="8"/>
            <color indexed="81"/>
            <rFont val="Tahoma"/>
            <family val="2"/>
          </rPr>
          <t>Errors:
- The 'ABP' is not a multiple of '0.25'. (8192)
- The 'HP' is not a multiple of '0.25'. (16384)
Warnings:
- You have not entered a Scope Reference, which is recommended. (1024)</t>
        </r>
      </text>
    </comment>
    <comment ref="B216" authorId="1" shapeId="0" xr:uid="{00000000-0006-0000-0400-00007A000000}">
      <text>
        <r>
          <rPr>
            <sz val="8"/>
            <color indexed="81"/>
            <rFont val="Tahoma"/>
            <family val="2"/>
          </rPr>
          <t>Errors:
- The 'ABP' is not a multiple of '0.25'. (8192)
- The 'HP' is not a multiple of '0.25'. (16384)
Warnings:
- You have not entered a Scope Reference, which is recommended. (1024)</t>
        </r>
      </text>
    </comment>
    <comment ref="B217" authorId="1" shapeId="0" xr:uid="{00000000-0006-0000-0400-00007B000000}">
      <text>
        <r>
          <rPr>
            <sz val="8"/>
            <color indexed="81"/>
            <rFont val="Tahoma"/>
            <family val="2"/>
          </rPr>
          <t>Errors:
- The 'HP' is not a multiple of '0.25'. (16384)
Warnings:
- You have not entered a Scope Reference, which is recommended. (1024)</t>
        </r>
      </text>
    </comment>
    <comment ref="B218" authorId="1" shapeId="0" xr:uid="{00000000-0006-0000-0400-00007C000000}">
      <text>
        <r>
          <rPr>
            <sz val="8"/>
            <color indexed="81"/>
            <rFont val="Tahoma"/>
            <family val="2"/>
          </rPr>
          <t>Errors:
- The 'ABP' is not a multiple of '0.25'. (8192)
- The 'HP' is not a multiple of '0.25'. (16384)
Warnings:
- You have not entered a Scope Reference, which is recommended. (1024)</t>
        </r>
      </text>
    </comment>
    <comment ref="B219" authorId="1" shapeId="0" xr:uid="{00000000-0006-0000-0400-00007D000000}">
      <text>
        <r>
          <rPr>
            <sz val="8"/>
            <color indexed="81"/>
            <rFont val="Tahoma"/>
            <family val="2"/>
          </rPr>
          <t>Warnings:
- You have not entered a Scope Reference, which is recommended. (1024)</t>
        </r>
      </text>
    </comment>
    <comment ref="B220" authorId="1" shapeId="0" xr:uid="{00000000-0006-0000-0400-00007E000000}">
      <text>
        <r>
          <rPr>
            <sz val="8"/>
            <color indexed="81"/>
            <rFont val="Tahoma"/>
            <family val="2"/>
          </rPr>
          <t>Errors:
- The 'ABP' is not a multiple of '0.25'. (8192)
- The 'HP' is not a multiple of '0.25'. (16384)
Warnings:
- You have not entered a Scope Reference, which is recommended. (1024)</t>
        </r>
      </text>
    </comment>
    <comment ref="B221" authorId="1" shapeId="0" xr:uid="{00000000-0006-0000-0400-00007F000000}">
      <text>
        <r>
          <rPr>
            <sz val="8"/>
            <color indexed="81"/>
            <rFont val="Tahoma"/>
            <family val="2"/>
          </rPr>
          <t>Warnings:
- You have not entered a Scope Reference, which is recommended. (1024)</t>
        </r>
      </text>
    </comment>
    <comment ref="B222" authorId="1" shapeId="0" xr:uid="{00000000-0006-0000-0400-000080000000}">
      <text>
        <r>
          <rPr>
            <sz val="8"/>
            <color indexed="81"/>
            <rFont val="Tahoma"/>
            <family val="2"/>
          </rPr>
          <t>Errors:
- The 'ABP' is not a multiple of '0.25'. (8192)
- The 'HP' is not a multiple of '0.25'. (16384)
Warnings:
- You have not entered a Scope Reference, which is recommended. (1024)</t>
        </r>
      </text>
    </comment>
    <comment ref="B223" authorId="1" shapeId="0" xr:uid="{00000000-0006-0000-0400-000081000000}">
      <text>
        <r>
          <rPr>
            <sz val="8"/>
            <color indexed="81"/>
            <rFont val="Tahoma"/>
            <family val="2"/>
          </rPr>
          <t>Warnings:
- You have not entered a Scope Reference, which is recommended. (1024)</t>
        </r>
      </text>
    </comment>
    <comment ref="B224" authorId="1" shapeId="0" xr:uid="{00000000-0006-0000-0400-000082000000}">
      <text>
        <r>
          <rPr>
            <sz val="8"/>
            <color indexed="81"/>
            <rFont val="Tahoma"/>
            <family val="2"/>
          </rPr>
          <t>Errors:
- The 'ABP' is not a multiple of '0.25'. (8192)
- The 'HP' is not a multiple of '0.25'. (16384)
Warnings:
- You have not entered a Scope Reference, which is recommended. (1024)</t>
        </r>
      </text>
    </comment>
    <comment ref="B225" authorId="1" shapeId="0" xr:uid="{00000000-0006-0000-0400-000083000000}">
      <text>
        <r>
          <rPr>
            <sz val="8"/>
            <color indexed="81"/>
            <rFont val="Tahoma"/>
            <family val="2"/>
          </rPr>
          <t>Warnings:
- You have not entered a Scope Reference, which is recommended. (1024)</t>
        </r>
      </text>
    </comment>
    <comment ref="B226" authorId="1" shapeId="0" xr:uid="{00000000-0006-0000-0400-000084000000}">
      <text>
        <r>
          <rPr>
            <sz val="8"/>
            <color indexed="81"/>
            <rFont val="Tahoma"/>
            <family val="2"/>
          </rPr>
          <t>Warnings:
- You have not entered a Scope Reference, which is recommended. (1024)</t>
        </r>
      </text>
    </comment>
    <comment ref="B227" authorId="1" shapeId="0" xr:uid="{00000000-0006-0000-0400-000085000000}">
      <text>
        <r>
          <rPr>
            <sz val="8"/>
            <color indexed="81"/>
            <rFont val="Tahoma"/>
            <family val="2"/>
          </rPr>
          <t>Errors:
- The 'ABP' is not a multiple of '0.25'. (8192)
- The 'HP' is not a multiple of '0.25'. (16384)
Warnings:
- You have not entered a Scope Reference, which is recommended. (1024)</t>
        </r>
      </text>
    </comment>
    <comment ref="B228" authorId="1" shapeId="0" xr:uid="{00000000-0006-0000-0400-000086000000}">
      <text>
        <r>
          <rPr>
            <sz val="8"/>
            <color indexed="81"/>
            <rFont val="Tahoma"/>
            <family val="2"/>
          </rPr>
          <t>Errors:
- The 'ABP' is not a multiple of '0.25'. (8192)
- The 'HP' is not a multiple of '0.25'. (16384)
Warnings:
- You have not entered a Scope Reference, which is recommended. (1024)</t>
        </r>
      </text>
    </comment>
    <comment ref="B230" authorId="1" shapeId="0" xr:uid="{00000000-0006-0000-0400-000087000000}">
      <text>
        <r>
          <rPr>
            <sz val="8"/>
            <color indexed="81"/>
            <rFont val="Tahoma"/>
            <family val="2"/>
          </rPr>
          <t>Errors:
- The 'ABP' is not a multiple of '0.25'. (8192)
- The 'HP' is not a multiple of '0.25'. (16384)
Warnings:
- You have not entered a Scope Reference, which is recommended. (1024)</t>
        </r>
      </text>
    </comment>
    <comment ref="B231" authorId="1" shapeId="0" xr:uid="{00000000-0006-0000-0400-000088000000}">
      <text>
        <r>
          <rPr>
            <sz val="8"/>
            <color indexed="81"/>
            <rFont val="Tahoma"/>
            <family val="2"/>
          </rPr>
          <t>Warnings:
- You have not entered a Scope Reference, which is recommended. (1024)</t>
        </r>
      </text>
    </comment>
    <comment ref="B232" authorId="1" shapeId="0" xr:uid="{00000000-0006-0000-0400-000089000000}">
      <text>
        <r>
          <rPr>
            <sz val="8"/>
            <color indexed="81"/>
            <rFont val="Tahoma"/>
            <family val="2"/>
          </rPr>
          <t>Errors:
- The 'HP' is not a multiple of '0.25'. (16384)
Warnings:
- You have not entered a Scope Reference, which is recommended. (1024)</t>
        </r>
      </text>
    </comment>
    <comment ref="B233" authorId="1" shapeId="0" xr:uid="{00000000-0006-0000-0400-00008A000000}">
      <text>
        <r>
          <rPr>
            <sz val="8"/>
            <color indexed="81"/>
            <rFont val="Tahoma"/>
            <family val="2"/>
          </rPr>
          <t>Warnings:
- You have not entered a Scope Reference, which is recommended. (1024)</t>
        </r>
      </text>
    </comment>
    <comment ref="B234" authorId="1" shapeId="0" xr:uid="{00000000-0006-0000-0400-00008B000000}">
      <text>
        <r>
          <rPr>
            <sz val="8"/>
            <color indexed="81"/>
            <rFont val="Tahoma"/>
            <family val="2"/>
          </rPr>
          <t>Errors:
- The 'ABP' is not a multiple of '0.25'. (8192)
- The 'HP' is not a multiple of '0.25'. (16384)
Warnings:
- You have not entered a Scope Reference, which is recommended. (1024)</t>
        </r>
      </text>
    </comment>
    <comment ref="B235" authorId="1" shapeId="0" xr:uid="{00000000-0006-0000-0400-00008C000000}">
      <text>
        <r>
          <rPr>
            <sz val="8"/>
            <color indexed="81"/>
            <rFont val="Tahoma"/>
            <family val="2"/>
          </rPr>
          <t>Warnings:
- You have not entered a Scope Reference, which is recommended. (1024)</t>
        </r>
      </text>
    </comment>
    <comment ref="B236" authorId="1" shapeId="0" xr:uid="{00000000-0006-0000-0400-00008D000000}">
      <text>
        <r>
          <rPr>
            <sz val="8"/>
            <color indexed="81"/>
            <rFont val="Tahoma"/>
            <family val="2"/>
          </rPr>
          <t>Warnings:
- You have not entered a Scope Reference, which is recommended. (1024)</t>
        </r>
      </text>
    </comment>
    <comment ref="B237" authorId="1" shapeId="0" xr:uid="{00000000-0006-0000-0400-00008E000000}">
      <text>
        <r>
          <rPr>
            <sz val="8"/>
            <color indexed="81"/>
            <rFont val="Tahoma"/>
            <family val="2"/>
          </rPr>
          <t>Errors:
- The 'ABP' is not a multiple of '0.25'. (8192)
- The 'HP' is not a multiple of '0.25'. (16384)
Warnings:
- You have not entered a Scope Reference, which is recommended. (1024)</t>
        </r>
      </text>
    </comment>
    <comment ref="B238" authorId="1" shapeId="0" xr:uid="{00000000-0006-0000-0400-00008F000000}">
      <text>
        <r>
          <rPr>
            <sz val="8"/>
            <color indexed="81"/>
            <rFont val="Tahoma"/>
            <family val="2"/>
          </rPr>
          <t>Errors:
- The 'ABP' is not a multiple of '0.25'. (8192)
- The 'HP' is not a multiple of '0.25'. (16384)
Warnings:
- You have not entered a Scope Reference, which is recommended. (1024)</t>
        </r>
      </text>
    </comment>
    <comment ref="B239" authorId="1" shapeId="0" xr:uid="{00000000-0006-0000-0400-000090000000}">
      <text>
        <r>
          <rPr>
            <sz val="8"/>
            <color indexed="81"/>
            <rFont val="Tahoma"/>
            <family val="2"/>
          </rPr>
          <t>Warnings:
- You have not entered a Scope Reference, which is recommended. (1024)</t>
        </r>
      </text>
    </comment>
    <comment ref="B240" authorId="1" shapeId="0" xr:uid="{00000000-0006-0000-0400-000091000000}">
      <text>
        <r>
          <rPr>
            <sz val="8"/>
            <color indexed="81"/>
            <rFont val="Tahoma"/>
            <family val="2"/>
          </rPr>
          <t>Errors:
- The 'ABP' is not a multiple of '0.25'. (8192)
- The 'HP' is not a multiple of '0.25'. (16384)
Warnings:
- You have not entered a Scope Reference, which is recommended. (1024)</t>
        </r>
      </text>
    </comment>
    <comment ref="B241" authorId="1" shapeId="0" xr:uid="{00000000-0006-0000-0400-000092000000}">
      <text>
        <r>
          <rPr>
            <sz val="8"/>
            <color indexed="81"/>
            <rFont val="Tahoma"/>
            <family val="2"/>
          </rPr>
          <t>Errors:
- The 'ABP' is not a multiple of '0.25'. (8192)
- The 'HP' is not a multiple of '0.25'. (16384)
Warnings:
- You have not entered a Scope Reference, which is recommended. (1024)</t>
        </r>
      </text>
    </comment>
    <comment ref="B242" authorId="1" shapeId="0" xr:uid="{00000000-0006-0000-0400-000093000000}">
      <text>
        <r>
          <rPr>
            <sz val="8"/>
            <color indexed="81"/>
            <rFont val="Tahoma"/>
            <family val="2"/>
          </rPr>
          <t>Warnings:
- You have not entered a Scope Reference, which is recommended. (1024)</t>
        </r>
      </text>
    </comment>
    <comment ref="B243" authorId="1" shapeId="0" xr:uid="{00000000-0006-0000-0400-000094000000}">
      <text>
        <r>
          <rPr>
            <sz val="8"/>
            <color indexed="81"/>
            <rFont val="Tahoma"/>
            <family val="2"/>
          </rPr>
          <t>Warnings:
- You have not entered a Scope Reference, which is recommended. (1024)</t>
        </r>
      </text>
    </comment>
    <comment ref="B244" authorId="1" shapeId="0" xr:uid="{00000000-0006-0000-0400-000095000000}">
      <text>
        <r>
          <rPr>
            <sz val="8"/>
            <color indexed="81"/>
            <rFont val="Tahoma"/>
            <family val="2"/>
          </rPr>
          <t>Errors:
- The 'ABP' is not a multiple of '0.25'. (8192)
- The 'HP' is not a multiple of '0.25'. (16384)
Warnings:
- You have not entered a Scope Reference, which is recommended. (1024)</t>
        </r>
      </text>
    </comment>
    <comment ref="B245" authorId="1" shapeId="0" xr:uid="{00000000-0006-0000-0400-000096000000}">
      <text>
        <r>
          <rPr>
            <sz val="8"/>
            <color indexed="81"/>
            <rFont val="Tahoma"/>
            <family val="2"/>
          </rPr>
          <t>Warnings:
- You have not entered a Scope Reference, which is recommended. (1024)</t>
        </r>
      </text>
    </comment>
    <comment ref="B246" authorId="1" shapeId="0" xr:uid="{00000000-0006-0000-0400-000097000000}">
      <text>
        <r>
          <rPr>
            <sz val="8"/>
            <color indexed="81"/>
            <rFont val="Tahoma"/>
            <family val="2"/>
          </rPr>
          <t>Warnings:
- You have not entered a Scope Reference, which is recommended. (1024)</t>
        </r>
      </text>
    </comment>
    <comment ref="B247" authorId="1" shapeId="0" xr:uid="{00000000-0006-0000-0400-000098000000}">
      <text>
        <r>
          <rPr>
            <sz val="8"/>
            <color indexed="81"/>
            <rFont val="Tahoma"/>
            <family val="2"/>
          </rPr>
          <t>Errors:
- The 'ABP' is not a multiple of '0.25'. (8192)
- The 'HP' is not a multiple of '0.25'. (16384)
Warnings:
- You have not entered a Scope Reference, which is recommended. (1024)</t>
        </r>
      </text>
    </comment>
    <comment ref="B248" authorId="1" shapeId="0" xr:uid="{00000000-0006-0000-0400-000099000000}">
      <text>
        <r>
          <rPr>
            <sz val="8"/>
            <color indexed="81"/>
            <rFont val="Tahoma"/>
            <family val="2"/>
          </rPr>
          <t>Errors:
- The 'ABP' is not a multiple of '0.25'. (8192)
- The 'HP' is not a multiple of '0.25'. (16384)
Warnings:
- You have not entered a Scope Reference, which is recommended. (1024)</t>
        </r>
      </text>
    </comment>
    <comment ref="B249" authorId="1" shapeId="0" xr:uid="{00000000-0006-0000-0400-00009A000000}">
      <text>
        <r>
          <rPr>
            <sz val="8"/>
            <color indexed="81"/>
            <rFont val="Tahoma"/>
            <family val="2"/>
          </rPr>
          <t>Warnings:
- You have not entered a Scope Reference, which is recommended. (1024)</t>
        </r>
      </text>
    </comment>
    <comment ref="B250" authorId="1" shapeId="0" xr:uid="{00000000-0006-0000-0400-00009B000000}">
      <text>
        <r>
          <rPr>
            <sz val="8"/>
            <color indexed="81"/>
            <rFont val="Tahoma"/>
            <family val="2"/>
          </rPr>
          <t>Errors:
- The 'HP' is not a multiple of '0.25'. (16384)
Warnings:
- You have not entered a Scope Reference, which is recommended. (1024)</t>
        </r>
      </text>
    </comment>
    <comment ref="B251" authorId="1" shapeId="0" xr:uid="{00000000-0006-0000-0400-00009C000000}">
      <text>
        <r>
          <rPr>
            <sz val="8"/>
            <color indexed="81"/>
            <rFont val="Tahoma"/>
            <family val="2"/>
          </rPr>
          <t>Errors:
- The 'ABP' is not a multiple of '0.25'. (8192)
- The 'HP' is not a multiple of '0.25'. (16384)
Warnings:
- You have not entered a Scope Reference, which is recommended. (1024)</t>
        </r>
      </text>
    </comment>
    <comment ref="B252" authorId="1" shapeId="0" xr:uid="{00000000-0006-0000-0400-00009D000000}">
      <text>
        <r>
          <rPr>
            <sz val="8"/>
            <color indexed="81"/>
            <rFont val="Tahoma"/>
            <family val="2"/>
          </rPr>
          <t>Errors:
- The 'ABP' is not a multiple of '0.25'. (8192)
- The 'HP' is not a multiple of '0.25'. (16384)
Warnings:
- You have not entered a Scope Reference, which is recommended. (1024)</t>
        </r>
      </text>
    </comment>
    <comment ref="B253" authorId="1" shapeId="0" xr:uid="{00000000-0006-0000-0400-00009E000000}">
      <text>
        <r>
          <rPr>
            <sz val="8"/>
            <color indexed="81"/>
            <rFont val="Tahoma"/>
            <family val="2"/>
          </rPr>
          <t>Warnings:
- You have not entered a Scope Reference, which is recommended. (1024)</t>
        </r>
      </text>
    </comment>
    <comment ref="B254" authorId="1" shapeId="0" xr:uid="{00000000-0006-0000-0400-00009F000000}">
      <text>
        <r>
          <rPr>
            <sz val="8"/>
            <color indexed="81"/>
            <rFont val="Tahoma"/>
            <family val="2"/>
          </rPr>
          <t>Errors:
- The 'ABP' is not a multiple of '0.25'. (8192)
- The 'HP' is not a multiple of '0.25'. (16384)
Warnings:
- You have not entered a Scope Reference, which is recommended. (1024)</t>
        </r>
      </text>
    </comment>
    <comment ref="B255" authorId="1" shapeId="0" xr:uid="{00000000-0006-0000-0400-0000A0000000}">
      <text>
        <r>
          <rPr>
            <sz val="8"/>
            <color indexed="81"/>
            <rFont val="Tahoma"/>
            <family val="2"/>
          </rPr>
          <t>Warnings:
- You have not entered a Scope Reference, which is recommended. (1024)</t>
        </r>
      </text>
    </comment>
    <comment ref="B256" authorId="1" shapeId="0" xr:uid="{00000000-0006-0000-0400-0000A1000000}">
      <text>
        <r>
          <rPr>
            <sz val="8"/>
            <color indexed="81"/>
            <rFont val="Tahoma"/>
            <family val="2"/>
          </rPr>
          <t>Warnings:
- You have not entered a Scope Reference, which is recommended. (1024)</t>
        </r>
      </text>
    </comment>
    <comment ref="B257" authorId="1" shapeId="0" xr:uid="{00000000-0006-0000-0400-0000A2000000}">
      <text>
        <r>
          <rPr>
            <sz val="8"/>
            <color indexed="81"/>
            <rFont val="Tahoma"/>
            <family val="2"/>
          </rPr>
          <t>Warnings:
- You have not entered a Scope Reference, which is recommended. (1024)</t>
        </r>
      </text>
    </comment>
    <comment ref="B258" authorId="1" shapeId="0" xr:uid="{00000000-0006-0000-0400-0000A3000000}">
      <text>
        <r>
          <rPr>
            <sz val="8"/>
            <color indexed="81"/>
            <rFont val="Tahoma"/>
            <family val="2"/>
          </rPr>
          <t>Warnings:
- You have not entered a Scope Reference, which is recommended. (1024)</t>
        </r>
      </text>
    </comment>
    <comment ref="B259" authorId="1" shapeId="0" xr:uid="{00000000-0006-0000-0400-0000A4000000}">
      <text>
        <r>
          <rPr>
            <sz val="8"/>
            <color indexed="81"/>
            <rFont val="Tahoma"/>
            <family val="2"/>
          </rPr>
          <t>Warnings:
- You have not entered a Scope Reference, which is recommended. (1024)</t>
        </r>
      </text>
    </comment>
    <comment ref="B261" authorId="1" shapeId="0" xr:uid="{00000000-0006-0000-0400-0000A5000000}">
      <text>
        <r>
          <rPr>
            <sz val="8"/>
            <color indexed="81"/>
            <rFont val="Tahoma"/>
            <family val="2"/>
          </rPr>
          <t>Warnings:
- You have not entered a Scope Reference, which is recommended. (1024)</t>
        </r>
      </text>
    </comment>
    <comment ref="B262" authorId="1" shapeId="0" xr:uid="{00000000-0006-0000-0400-0000A6000000}">
      <text>
        <r>
          <rPr>
            <sz val="8"/>
            <color indexed="81"/>
            <rFont val="Tahoma"/>
            <family val="2"/>
          </rPr>
          <t>Warnings:
- You have not entered a Scope Reference, which is recommended. (1024)</t>
        </r>
      </text>
    </comment>
    <comment ref="B263" authorId="1" shapeId="0" xr:uid="{00000000-0006-0000-0400-0000A7000000}">
      <text>
        <r>
          <rPr>
            <sz val="8"/>
            <color indexed="81"/>
            <rFont val="Tahoma"/>
            <family val="2"/>
          </rPr>
          <t>Warnings:
- You have not entered a Scope Reference, which is recommended. (1024)</t>
        </r>
      </text>
    </comment>
    <comment ref="B265" authorId="1" shapeId="0" xr:uid="{00000000-0006-0000-0400-0000A8000000}">
      <text>
        <r>
          <rPr>
            <sz val="8"/>
            <color indexed="81"/>
            <rFont val="Tahoma"/>
            <family val="2"/>
          </rPr>
          <t>Warnings:
- You have not entered a Scope Reference, which is recommended. (1024)</t>
        </r>
      </text>
    </comment>
    <comment ref="B266" authorId="1" shapeId="0" xr:uid="{00000000-0006-0000-0400-0000A9000000}">
      <text>
        <r>
          <rPr>
            <sz val="8"/>
            <color indexed="81"/>
            <rFont val="Tahoma"/>
            <family val="2"/>
          </rPr>
          <t>Errors:
- The 'ABP' is not a multiple of '0.25'. (8192)
- The 'HP' is not a multiple of '0.25'. (16384)
Warnings:
- You have not entered a Scope Reference, which is recommended. (1024)</t>
        </r>
      </text>
    </comment>
    <comment ref="B267" authorId="1" shapeId="0" xr:uid="{00000000-0006-0000-0400-0000AA000000}">
      <text>
        <r>
          <rPr>
            <sz val="8"/>
            <color indexed="81"/>
            <rFont val="Tahoma"/>
            <family val="2"/>
          </rPr>
          <t>Errors:
- The 'ABP' is not a multiple of '0.25'. (8192)
- The 'HP' is not a multiple of '0.25'. (16384)
Warnings:
- You have not entered a Scope Reference, which is recommended. (1024)</t>
        </r>
      </text>
    </comment>
    <comment ref="B268" authorId="1" shapeId="0" xr:uid="{00000000-0006-0000-0400-0000AB000000}">
      <text>
        <r>
          <rPr>
            <sz val="8"/>
            <color indexed="81"/>
            <rFont val="Tahoma"/>
            <family val="2"/>
          </rPr>
          <t>Warnings:
- You have not entered a Scope Reference, which is recommended. (1024)</t>
        </r>
      </text>
    </comment>
    <comment ref="B269" authorId="1" shapeId="0" xr:uid="{00000000-0006-0000-0400-0000AC000000}">
      <text>
        <r>
          <rPr>
            <sz val="8"/>
            <color indexed="81"/>
            <rFont val="Tahoma"/>
            <family val="2"/>
          </rPr>
          <t>Warnings:
- You have not entered a Scope Reference, which is recommended. (1024)</t>
        </r>
      </text>
    </comment>
    <comment ref="B270" authorId="1" shapeId="0" xr:uid="{00000000-0006-0000-0400-0000AD000000}">
      <text>
        <r>
          <rPr>
            <sz val="8"/>
            <color indexed="81"/>
            <rFont val="Tahoma"/>
            <family val="2"/>
          </rPr>
          <t>Warnings:
- You have not entered a Scope Reference, which is recommended. (1024)</t>
        </r>
      </text>
    </comment>
    <comment ref="B300" authorId="1" shapeId="0" xr:uid="{00000000-0006-0000-0400-0000AE000000}">
      <text>
        <r>
          <rPr>
            <sz val="8"/>
            <color indexed="81"/>
            <rFont val="Tahoma"/>
            <family val="2"/>
          </rPr>
          <t>Warnings:
- You have not entered a Scope Reference, which is recommended. (1024)
- You have not provided an entry in 'ABP' (1048576)
- You have not provided an entry in 'HP' (2097152)</t>
        </r>
      </text>
    </comment>
    <comment ref="B301" authorId="1" shapeId="0" xr:uid="{00000000-0006-0000-0400-0000AF000000}">
      <text>
        <r>
          <rPr>
            <sz val="8"/>
            <color indexed="81"/>
            <rFont val="Tahoma"/>
            <family val="2"/>
          </rPr>
          <t>Warnings:
- You have not entered a Scope Reference, which is recommended. (1024)
- You have not provided an entry in 'ABP' (1048576)
- You have not provided an entry in 'HP' (2097152)</t>
        </r>
      </text>
    </comment>
    <comment ref="B302" authorId="1" shapeId="0" xr:uid="{00000000-0006-0000-0400-0000B0000000}">
      <text>
        <r>
          <rPr>
            <sz val="8"/>
            <color indexed="81"/>
            <rFont val="Tahoma"/>
            <family val="2"/>
          </rPr>
          <t>Warnings:
- You have not entered a Scope Reference, which is recommended. (1024)
- You have not provided an entry in 'ABP' (1048576)
- You have not provided an entry in 'HP' (2097152)</t>
        </r>
      </text>
    </comment>
    <comment ref="B303" authorId="1" shapeId="0" xr:uid="{00000000-0006-0000-0400-0000B1000000}">
      <text>
        <r>
          <rPr>
            <sz val="8"/>
            <color indexed="81"/>
            <rFont val="Tahoma"/>
            <family val="2"/>
          </rPr>
          <t>Warnings:
- You have not entered a Scope Reference, which is recommended. (1024)
- You have not provided an entry in 'ABP' (1048576)
- You have not provided an entry in 'HP' (2097152)</t>
        </r>
      </text>
    </comment>
    <comment ref="B304" authorId="1" shapeId="0" xr:uid="{00000000-0006-0000-0400-0000B2000000}">
      <text>
        <r>
          <rPr>
            <sz val="8"/>
            <color indexed="81"/>
            <rFont val="Tahoma"/>
            <family val="2"/>
          </rPr>
          <t>Warnings:
- You have not entered a Scope Reference, which is recommended. (1024)
- You have not provided an entry in 'ABP' (1048576)
- You have not provided an entry in 'HP' (2097152)</t>
        </r>
      </text>
    </comment>
    <comment ref="B305" authorId="1" shapeId="0" xr:uid="{00000000-0006-0000-0400-0000B3000000}">
      <text>
        <r>
          <rPr>
            <sz val="8"/>
            <color indexed="81"/>
            <rFont val="Tahoma"/>
            <family val="2"/>
          </rPr>
          <t>Warnings:
- You have not entered a Scope Reference, which is recommended. (1024)
- You have not provided an entry in 'ABP' (1048576)
- You have not provided an entry in 'HP' (2097152)</t>
        </r>
      </text>
    </comment>
    <comment ref="B306" authorId="1" shapeId="0" xr:uid="{00000000-0006-0000-0400-0000B4000000}">
      <text>
        <r>
          <rPr>
            <sz val="8"/>
            <color indexed="81"/>
            <rFont val="Tahoma"/>
            <family val="2"/>
          </rPr>
          <t>Warnings:
- You have not entered a Scope Reference, which is recommended. (1024)
- You have not provided an entry in 'ABP' (1048576)
- You have not provided an entry in 'HP' (2097152)</t>
        </r>
      </text>
    </comment>
    <comment ref="B307" authorId="1" shapeId="0" xr:uid="{00000000-0006-0000-0400-0000B5000000}">
      <text>
        <r>
          <rPr>
            <sz val="8"/>
            <color indexed="81"/>
            <rFont val="Tahoma"/>
            <family val="2"/>
          </rPr>
          <t>Warnings:
- You have not entered a Scope Reference, which is recommended. (1024)
- You have not provided an entry in 'ABP' (1048576)
- You have not provided an entry in 'HP' (2097152)</t>
        </r>
      </text>
    </comment>
    <comment ref="B308" authorId="1" shapeId="0" xr:uid="{00000000-0006-0000-0400-0000B6000000}">
      <text>
        <r>
          <rPr>
            <sz val="8"/>
            <color indexed="81"/>
            <rFont val="Tahoma"/>
            <family val="2"/>
          </rPr>
          <t>Warnings:
- You have not entered a Scope Reference, which is recommended. (1024)
- You have not provided an entry in 'ABP' (1048576)
- You have not provided an entry in 'HP' (2097152)</t>
        </r>
      </text>
    </comment>
    <comment ref="B309" authorId="1" shapeId="0" xr:uid="{00000000-0006-0000-0400-0000B7000000}">
      <text>
        <r>
          <rPr>
            <sz val="8"/>
            <color indexed="81"/>
            <rFont val="Tahoma"/>
            <family val="2"/>
          </rPr>
          <t>Warnings:
- You have not entered a Scope Reference, which is recommended. (1024)
- You have not provided an entry in 'ABP' (1048576)
- You have not provided an entry in 'HP' (2097152)</t>
        </r>
      </text>
    </comment>
    <comment ref="B310" authorId="1" shapeId="0" xr:uid="{00000000-0006-0000-0400-0000B8000000}">
      <text>
        <r>
          <rPr>
            <sz val="8"/>
            <color indexed="81"/>
            <rFont val="Tahoma"/>
            <family val="2"/>
          </rPr>
          <t>Warnings:
- You have not entered a Scope Reference, which is recommended. (1024)
- You have not provided an entry in 'ABP' (1048576)
- You have not provided an entry in 'HP' (2097152)</t>
        </r>
      </text>
    </comment>
    <comment ref="B311" authorId="1" shapeId="0" xr:uid="{00000000-0006-0000-0400-0000B9000000}">
      <text>
        <r>
          <rPr>
            <sz val="8"/>
            <color indexed="81"/>
            <rFont val="Tahoma"/>
            <family val="2"/>
          </rPr>
          <t>Warnings:
- You have not entered a Scope Reference, which is recommended. (1024)
- You have not provided an entry in 'ABP' (1048576)
- You have not provided an entry in 'HP' (2097152)</t>
        </r>
      </text>
    </comment>
    <comment ref="B312" authorId="1" shapeId="0" xr:uid="{00000000-0006-0000-0400-0000BA000000}">
      <text>
        <r>
          <rPr>
            <sz val="8"/>
            <color indexed="81"/>
            <rFont val="Tahoma"/>
            <family val="2"/>
          </rPr>
          <t>Warnings:
- You have not entered a Scope Reference, which is recommended. (1024)
- You have not provided an entry in 'ABP' (1048576)
- You have not provided an entry in 'HP' (2097152)</t>
        </r>
      </text>
    </comment>
    <comment ref="B313" authorId="1" shapeId="0" xr:uid="{00000000-0006-0000-0400-0000BB000000}">
      <text>
        <r>
          <rPr>
            <sz val="8"/>
            <color indexed="81"/>
            <rFont val="Tahoma"/>
            <family val="2"/>
          </rPr>
          <t>Warnings:
- You have not entered a Scope Reference, which is recommended. (1024)
- You have not provided an entry in 'ABP' (1048576)
- You have not provided an entry in 'HP' (2097152)</t>
        </r>
      </text>
    </comment>
    <comment ref="B314" authorId="1" shapeId="0" xr:uid="{00000000-0006-0000-0400-0000BC000000}">
      <text>
        <r>
          <rPr>
            <sz val="8"/>
            <color indexed="81"/>
            <rFont val="Tahoma"/>
            <family val="2"/>
          </rPr>
          <t>Warnings:
- You have not entered a Scope Reference, which is recommended. (1024)
- You have not provided an entry in 'ABP' (1048576)
- You have not provided an entry in 'HP' (2097152)</t>
        </r>
      </text>
    </comment>
    <comment ref="B315" authorId="1" shapeId="0" xr:uid="{00000000-0006-0000-0400-0000BD000000}">
      <text>
        <r>
          <rPr>
            <sz val="8"/>
            <color indexed="81"/>
            <rFont val="Tahoma"/>
            <family val="2"/>
          </rPr>
          <t>Warnings:
- You have not entered a Scope Reference, which is recommended. (1024)
- You have not provided an entry in 'ABP' (1048576)
- You have not provided an entry in 'HP' (2097152)</t>
        </r>
      </text>
    </comment>
    <comment ref="B316" authorId="1" shapeId="0" xr:uid="{00000000-0006-0000-0400-0000BE000000}">
      <text>
        <r>
          <rPr>
            <sz val="8"/>
            <color indexed="81"/>
            <rFont val="Tahoma"/>
            <family val="2"/>
          </rPr>
          <t>Errors:
- The 'ABP' is not a multiple of '0.25'. (8192)
- The 'HP' is not a multiple of '0.25'. (16384)
Warnings:
- You have not entered a Scope Reference, which is recommended. (1024)</t>
        </r>
      </text>
    </comment>
    <comment ref="B317" authorId="1" shapeId="0" xr:uid="{00000000-0006-0000-0400-0000BF000000}">
      <text>
        <r>
          <rPr>
            <sz val="8"/>
            <color indexed="81"/>
            <rFont val="Tahoma"/>
            <family val="2"/>
          </rPr>
          <t>Warnings:
- You have not entered a Scope Reference, which is recommended. (1024)
- You have not provided an entry in 'ABP' (1048576)
- You have not provided an entry in 'HP' (2097152)</t>
        </r>
      </text>
    </comment>
    <comment ref="B318" authorId="1" shapeId="0" xr:uid="{00000000-0006-0000-0400-0000C0000000}">
      <text>
        <r>
          <rPr>
            <sz val="8"/>
            <color indexed="81"/>
            <rFont val="Tahoma"/>
            <family val="2"/>
          </rPr>
          <t>Warnings:
- You have not entered a Scope Reference, which is recommended. (1024)
- You have not provided an entry in 'ABP' (1048576)
- You have not provided an entry in 'HP' (2097152)</t>
        </r>
      </text>
    </comment>
    <comment ref="B319" authorId="1" shapeId="0" xr:uid="{00000000-0006-0000-0400-0000C1000000}">
      <text>
        <r>
          <rPr>
            <sz val="8"/>
            <color indexed="81"/>
            <rFont val="Tahoma"/>
            <family val="2"/>
          </rPr>
          <t>Warnings:
- You have not entered a Scope Reference, which is recommended. (1024)
- You have not provided an entry in 'ABP' (1048576)
- You have not provided an entry in 'HP' (2097152)</t>
        </r>
      </text>
    </comment>
    <comment ref="B320" authorId="1" shapeId="0" xr:uid="{00000000-0006-0000-0400-0000C2000000}">
      <text>
        <r>
          <rPr>
            <sz val="8"/>
            <color indexed="81"/>
            <rFont val="Tahoma"/>
            <family val="2"/>
          </rPr>
          <t>Warnings:
- You have not entered a Scope Reference, which is recommended. (1024)
- You have not provided an entry in 'ABP' (1048576)
- You have not provided an entry in 'HP' (2097152)</t>
        </r>
      </text>
    </comment>
    <comment ref="B321" authorId="1" shapeId="0" xr:uid="{00000000-0006-0000-0400-0000C3000000}">
      <text>
        <r>
          <rPr>
            <sz val="8"/>
            <color indexed="81"/>
            <rFont val="Tahoma"/>
            <family val="2"/>
          </rPr>
          <t>Warnings:
- You have not entered a Scope Reference, which is recommended. (1024)
- You have not provided an entry in 'ABP' (1048576)
- You have not provided an entry in 'HP' (2097152)</t>
        </r>
      </text>
    </comment>
    <comment ref="B322" authorId="1" shapeId="0" xr:uid="{00000000-0006-0000-0400-0000C4000000}">
      <text>
        <r>
          <rPr>
            <sz val="8"/>
            <color indexed="81"/>
            <rFont val="Tahoma"/>
            <family val="2"/>
          </rPr>
          <t>Warnings:
- You have not entered a Scope Reference, which is recommended. (1024)
- You have not provided an entry in 'ABP' (1048576)
- You have not provided an entry in 'HP' (2097152)</t>
        </r>
      </text>
    </comment>
    <comment ref="B323" authorId="1" shapeId="0" xr:uid="{00000000-0006-0000-0400-0000C5000000}">
      <text>
        <r>
          <rPr>
            <sz val="8"/>
            <color indexed="81"/>
            <rFont val="Tahoma"/>
            <family val="2"/>
          </rPr>
          <t>Warnings:
- You have not entered a Scope Reference, which is recommended. (1024)
- You have not provided an entry in 'ABP' (1048576)
- You have not provided an entry in 'HP' (2097152)</t>
        </r>
      </text>
    </comment>
    <comment ref="B324" authorId="1" shapeId="0" xr:uid="{00000000-0006-0000-0400-0000C6000000}">
      <text>
        <r>
          <rPr>
            <sz val="8"/>
            <color indexed="81"/>
            <rFont val="Tahoma"/>
            <family val="2"/>
          </rPr>
          <t>Warnings:
- You have not entered a Scope Reference, which is recommended. (1024)
- You have not provided an entry in 'ABP' (1048576)
- You have not provided an entry in 'HP' (2097152)</t>
        </r>
      </text>
    </comment>
    <comment ref="B325" authorId="1" shapeId="0" xr:uid="{00000000-0006-0000-0400-0000C7000000}">
      <text>
        <r>
          <rPr>
            <sz val="8"/>
            <color indexed="81"/>
            <rFont val="Tahoma"/>
            <family val="2"/>
          </rPr>
          <t>Warnings:
- You have not entered a Scope Reference, which is recommended. (1024)
- You have not provided an entry in 'ABP' (1048576)
- You have not provided an entry in 'HP' (2097152)</t>
        </r>
      </text>
    </comment>
    <comment ref="B326" authorId="1" shapeId="0" xr:uid="{00000000-0006-0000-0400-0000C8000000}">
      <text>
        <r>
          <rPr>
            <sz val="8"/>
            <color indexed="81"/>
            <rFont val="Tahoma"/>
            <family val="2"/>
          </rPr>
          <t>Warnings:
- You have not entered a Scope Reference, which is recommended. (1024)
- You have not provided an entry in 'ABP' (1048576)
- You have not provided an entry in 'HP' (2097152)</t>
        </r>
      </text>
    </comment>
    <comment ref="B327" authorId="1" shapeId="0" xr:uid="{00000000-0006-0000-0400-0000C9000000}">
      <text>
        <r>
          <rPr>
            <sz val="8"/>
            <color indexed="81"/>
            <rFont val="Tahoma"/>
            <family val="2"/>
          </rPr>
          <t>Warnings:
- You have not entered a Scope Reference, which is recommended. (1024)
- You have not provided an entry in 'ABP' (1048576)
- You have not provided an entry in 'HP' (2097152)</t>
        </r>
      </text>
    </comment>
    <comment ref="B328" authorId="1" shapeId="0" xr:uid="{00000000-0006-0000-0400-0000CA000000}">
      <text>
        <r>
          <rPr>
            <sz val="8"/>
            <color indexed="81"/>
            <rFont val="Tahoma"/>
            <family val="2"/>
          </rPr>
          <t>Warnings:
- You have not entered a Scope Reference, which is recommended. (1024)
- You have not provided an entry in 'ABP' (1048576)
- You have not provided an entry in 'HP' (2097152)</t>
        </r>
      </text>
    </comment>
    <comment ref="B329" authorId="1" shapeId="0" xr:uid="{00000000-0006-0000-0400-0000CB000000}">
      <text>
        <r>
          <rPr>
            <sz val="8"/>
            <color indexed="81"/>
            <rFont val="Tahoma"/>
            <family val="2"/>
          </rPr>
          <t>Warnings:
- You have not entered a Scope Reference, which is recommended. (1024)
- You have not provided an entry in 'ABP' (1048576)
- You have not provided an entry in 'HP' (2097152)</t>
        </r>
      </text>
    </comment>
    <comment ref="B330" authorId="1" shapeId="0" xr:uid="{00000000-0006-0000-0400-0000CC000000}">
      <text>
        <r>
          <rPr>
            <sz val="8"/>
            <color indexed="81"/>
            <rFont val="Tahoma"/>
            <family val="2"/>
          </rPr>
          <t>Warnings:
- You have not entered a Scope Reference, which is recommended. (1024)
- You have not provided an entry in 'ABP' (1048576)
- You have not provided an entry in 'HP' (2097152)</t>
        </r>
      </text>
    </comment>
    <comment ref="B331" authorId="1" shapeId="0" xr:uid="{00000000-0006-0000-0400-0000CD000000}">
      <text>
        <r>
          <rPr>
            <sz val="8"/>
            <color indexed="81"/>
            <rFont val="Tahoma"/>
            <family val="2"/>
          </rPr>
          <t>Warnings:
- You have not entered a Scope Reference, which is recommended. (1024)
- You have not provided an entry in 'ABP' (1048576)
- You have not provided an entry in 'HP' (2097152)</t>
        </r>
      </text>
    </comment>
    <comment ref="B332" authorId="1" shapeId="0" xr:uid="{00000000-0006-0000-0400-0000CE000000}">
      <text>
        <r>
          <rPr>
            <sz val="8"/>
            <color indexed="81"/>
            <rFont val="Tahoma"/>
            <family val="2"/>
          </rPr>
          <t>Warnings:
- You have not entered a Scope Reference, which is recommended. (1024)
- You have not provided an entry in 'ABP' (1048576)
- You have not provided an entry in 'HP' (2097152)</t>
        </r>
      </text>
    </comment>
    <comment ref="B333" authorId="1" shapeId="0" xr:uid="{00000000-0006-0000-0400-0000CF000000}">
      <text>
        <r>
          <rPr>
            <sz val="8"/>
            <color indexed="81"/>
            <rFont val="Tahoma"/>
            <family val="2"/>
          </rPr>
          <t>Warnings:
- You have not entered a Scope Reference, which is recommended. (1024)
- You have not provided an entry in 'ABP' (1048576)
- You have not provided an entry in 'HP' (2097152)</t>
        </r>
      </text>
    </comment>
    <comment ref="B334" authorId="1" shapeId="0" xr:uid="{00000000-0006-0000-0400-0000D0000000}">
      <text>
        <r>
          <rPr>
            <sz val="8"/>
            <color indexed="81"/>
            <rFont val="Tahoma"/>
            <family val="2"/>
          </rPr>
          <t>Warnings:
- You have not entered a Scope Reference, which is recommended. (1024)
- You have not provided an entry in 'ABP' (1048576)
- You have not provided an entry in 'HP' (2097152)</t>
        </r>
      </text>
    </comment>
    <comment ref="B335" authorId="1" shapeId="0" xr:uid="{00000000-0006-0000-0400-0000D1000000}">
      <text>
        <r>
          <rPr>
            <sz val="8"/>
            <color indexed="81"/>
            <rFont val="Tahoma"/>
            <family val="2"/>
          </rPr>
          <t>Warnings:
- You have not entered a Scope Reference, which is recommended. (1024)
- You have not provided an entry in 'ABP' (1048576)
- You have not provided an entry in 'HP' (2097152)</t>
        </r>
      </text>
    </comment>
    <comment ref="B336" authorId="1" shapeId="0" xr:uid="{00000000-0006-0000-0400-0000D2000000}">
      <text>
        <r>
          <rPr>
            <sz val="8"/>
            <color indexed="81"/>
            <rFont val="Tahoma"/>
            <family val="2"/>
          </rPr>
          <t>Warnings:
- You have not entered a Scope Reference, which is recommended. (1024)
- You have not provided an entry in 'ABP' (1048576)
- You have not provided an entry in 'HP' (2097152)</t>
        </r>
      </text>
    </comment>
    <comment ref="B337" authorId="1" shapeId="0" xr:uid="{00000000-0006-0000-0400-0000D3000000}">
      <text>
        <r>
          <rPr>
            <sz val="8"/>
            <color indexed="81"/>
            <rFont val="Tahoma"/>
            <family val="2"/>
          </rPr>
          <t>Warnings:
- You have not entered a Scope Reference, which is recommended. (1024)
- You have not provided an entry in 'ABP' (1048576)
- You have not provided an entry in 'HP' (2097152)</t>
        </r>
      </text>
    </comment>
    <comment ref="B338" authorId="1" shapeId="0" xr:uid="{00000000-0006-0000-0400-0000D4000000}">
      <text>
        <r>
          <rPr>
            <sz val="8"/>
            <color indexed="81"/>
            <rFont val="Tahoma"/>
            <family val="2"/>
          </rPr>
          <t>Warnings:
- You have not entered a Scope Reference, which is recommended. (1024)
- You have not provided an entry in 'ABP' (1048576)
- You have not provided an entry in 'HP' (2097152)</t>
        </r>
      </text>
    </comment>
    <comment ref="B339" authorId="1" shapeId="0" xr:uid="{00000000-0006-0000-0400-0000D5000000}">
      <text>
        <r>
          <rPr>
            <sz val="8"/>
            <color indexed="81"/>
            <rFont val="Tahoma"/>
            <family val="2"/>
          </rPr>
          <t>Warnings:
- You have not entered a Scope Reference, which is recommended. (1024)
- You have not provided an entry in 'ABP' (1048576)
- You have not provided an entry in 'HP' (2097152)</t>
        </r>
      </text>
    </comment>
    <comment ref="B340" authorId="1" shapeId="0" xr:uid="{00000000-0006-0000-0400-0000D6000000}">
      <text>
        <r>
          <rPr>
            <sz val="8"/>
            <color indexed="81"/>
            <rFont val="Tahoma"/>
            <family val="2"/>
          </rPr>
          <t>Warnings:
- You have not entered a Scope Reference, which is recommended. (1024)
- You have not provided an entry in 'ABP' (1048576)
- You have not provided an entry in 'HP' (2097152)</t>
        </r>
      </text>
    </comment>
    <comment ref="B341" authorId="1" shapeId="0" xr:uid="{00000000-0006-0000-0400-0000D7000000}">
      <text>
        <r>
          <rPr>
            <sz val="8"/>
            <color indexed="81"/>
            <rFont val="Tahoma"/>
            <family val="2"/>
          </rPr>
          <t>Warnings:
- You have not entered a Scope Reference, which is recommended. (1024)
- You have not provided an entry in 'ABP' (1048576)
- You have not provided an entry in 'HP' (2097152)</t>
        </r>
      </text>
    </comment>
    <comment ref="B342" authorId="1" shapeId="0" xr:uid="{00000000-0006-0000-0400-0000D8000000}">
      <text>
        <r>
          <rPr>
            <sz val="8"/>
            <color indexed="81"/>
            <rFont val="Tahoma"/>
            <family val="2"/>
          </rPr>
          <t>Warnings:
- You have not entered a Scope Reference, which is recommended. (1024)
- You have not provided an entry in 'ABP' (1048576)
- You have not provided an entry in 'HP' (2097152)</t>
        </r>
      </text>
    </comment>
    <comment ref="B343" authorId="1" shapeId="0" xr:uid="{00000000-0006-0000-0400-0000D9000000}">
      <text>
        <r>
          <rPr>
            <sz val="8"/>
            <color indexed="81"/>
            <rFont val="Tahoma"/>
            <family val="2"/>
          </rPr>
          <t>Warnings:
- You have not entered a Scope Reference, which is recommended. (1024)
- You have not provided an entry in 'ABP' (1048576)
- You have not provided an entry in 'HP' (2097152)</t>
        </r>
      </text>
    </comment>
    <comment ref="B344" authorId="1" shapeId="0" xr:uid="{00000000-0006-0000-0400-0000DA000000}">
      <text>
        <r>
          <rPr>
            <sz val="8"/>
            <color indexed="81"/>
            <rFont val="Tahoma"/>
            <family val="2"/>
          </rPr>
          <t>Warnings:
- You have not entered a Scope Reference, which is recommended. (1024)
- You have not provided an entry in 'ABP' (1048576)
- You have not provided an entry in 'HP' (2097152)</t>
        </r>
      </text>
    </comment>
    <comment ref="B345" authorId="1" shapeId="0" xr:uid="{00000000-0006-0000-0400-0000DB000000}">
      <text>
        <r>
          <rPr>
            <sz val="8"/>
            <color indexed="81"/>
            <rFont val="Tahoma"/>
            <family val="2"/>
          </rPr>
          <t>Warnings:
- You have not entered a Scope Reference, which is recommended. (1024)
- You have not provided an entry in 'ABP' (1048576)
- You have not provided an entry in 'HP' (2097152)</t>
        </r>
      </text>
    </comment>
    <comment ref="B346" authorId="1" shapeId="0" xr:uid="{00000000-0006-0000-0400-0000DC000000}">
      <text>
        <r>
          <rPr>
            <sz val="8"/>
            <color indexed="81"/>
            <rFont val="Tahoma"/>
            <family val="2"/>
          </rPr>
          <t>Warnings:
- You have not entered a Scope Reference, which is recommended. (1024)
- You have not provided an entry in 'ABP' (1048576)
- You have not provided an entry in 'HP' (2097152)</t>
        </r>
      </text>
    </comment>
    <comment ref="B347" authorId="1" shapeId="0" xr:uid="{00000000-0006-0000-0400-0000DD000000}">
      <text>
        <r>
          <rPr>
            <sz val="8"/>
            <color indexed="81"/>
            <rFont val="Tahoma"/>
            <family val="2"/>
          </rPr>
          <t>Warnings:
- You have not entered a Scope Reference, which is recommended. (1024)
- You have not provided an entry in 'ABP' (1048576)
- You have not provided an entry in 'HP' (2097152)</t>
        </r>
      </text>
    </comment>
    <comment ref="B348" authorId="1" shapeId="0" xr:uid="{00000000-0006-0000-0400-0000DE000000}">
      <text>
        <r>
          <rPr>
            <sz val="8"/>
            <color indexed="81"/>
            <rFont val="Tahoma"/>
            <family val="2"/>
          </rPr>
          <t>Warnings:
- You have not entered a Scope Reference, which is recommended. (1024)
- You have not provided an entry in 'ABP' (1048576)
- You have not provided an entry in 'HP' (2097152)</t>
        </r>
      </text>
    </comment>
    <comment ref="B349" authorId="1" shapeId="0" xr:uid="{00000000-0006-0000-0400-0000DF000000}">
      <text>
        <r>
          <rPr>
            <sz val="8"/>
            <color indexed="81"/>
            <rFont val="Tahoma"/>
            <family val="2"/>
          </rPr>
          <t>Warnings:
- You have not entered a Scope Reference, which is recommended. (1024)
- You have not provided an entry in 'ABP' (1048576)
- You have not provided an entry in 'HP' (2097152)</t>
        </r>
      </text>
    </comment>
    <comment ref="B350" authorId="1" shapeId="0" xr:uid="{00000000-0006-0000-0400-0000E0000000}">
      <text>
        <r>
          <rPr>
            <sz val="8"/>
            <color indexed="81"/>
            <rFont val="Tahoma"/>
            <family val="2"/>
          </rPr>
          <t>Warnings:
- You have not entered a Scope Reference, which is recommended. (1024)
- You have not provided an entry in 'ABP' (1048576)
- You have not provided an entry in 'HP' (2097152)</t>
        </r>
      </text>
    </comment>
    <comment ref="B351" authorId="1" shapeId="0" xr:uid="{00000000-0006-0000-0400-0000E1000000}">
      <text>
        <r>
          <rPr>
            <sz val="8"/>
            <color indexed="81"/>
            <rFont val="Tahoma"/>
            <family val="2"/>
          </rPr>
          <t>Warnings:
- You have not entered a Scope Reference, which is recommended. (1024)
- You have not provided an entry in 'ABP' (1048576)
- You have not provided an entry in 'HP' (2097152)</t>
        </r>
      </text>
    </comment>
    <comment ref="B352" authorId="1" shapeId="0" xr:uid="{00000000-0006-0000-0400-0000E2000000}">
      <text>
        <r>
          <rPr>
            <sz val="8"/>
            <color indexed="81"/>
            <rFont val="Tahoma"/>
            <family val="2"/>
          </rPr>
          <t>Warnings:
- You have not entered a Scope Reference, which is recommended. (1024)
- You have not provided an entry in 'ABP' (1048576)
- You have not provided an entry in 'HP' (2097152)</t>
        </r>
      </text>
    </comment>
    <comment ref="B353" authorId="1" shapeId="0" xr:uid="{00000000-0006-0000-0400-0000E3000000}">
      <text>
        <r>
          <rPr>
            <sz val="8"/>
            <color indexed="81"/>
            <rFont val="Tahoma"/>
            <family val="2"/>
          </rPr>
          <t>Warnings:
- You have not entered a Scope Reference, which is recommended. (1024)
- You have not provided an entry in 'ABP' (1048576)
- You have not provided an entry in 'HP' (2097152)</t>
        </r>
      </text>
    </comment>
    <comment ref="B354" authorId="1" shapeId="0" xr:uid="{00000000-0006-0000-0400-0000E4000000}">
      <text>
        <r>
          <rPr>
            <sz val="8"/>
            <color indexed="81"/>
            <rFont val="Tahoma"/>
            <family val="2"/>
          </rPr>
          <t>Warnings:
- You have not entered a Scope Reference, which is recommended. (1024)
- You have not provided an entry in 'ABP' (1048576)
- You have not provided an entry in 'HP' (2097152)</t>
        </r>
      </text>
    </comment>
    <comment ref="B355" authorId="1" shapeId="0" xr:uid="{00000000-0006-0000-0400-0000E5000000}">
      <text>
        <r>
          <rPr>
            <sz val="8"/>
            <color indexed="81"/>
            <rFont val="Tahoma"/>
            <family val="2"/>
          </rPr>
          <t>Warnings:
- You have not entered a Scope Reference, which is recommended. (1024)
- You have not provided an entry in 'ABP' (1048576)
- You have not provided an entry in 'HP' (2097152)</t>
        </r>
      </text>
    </comment>
    <comment ref="B356" authorId="1" shapeId="0" xr:uid="{00000000-0006-0000-0400-0000E6000000}">
      <text>
        <r>
          <rPr>
            <sz val="8"/>
            <color indexed="81"/>
            <rFont val="Tahoma"/>
            <family val="2"/>
          </rPr>
          <t>Warnings:
- You have not entered a Scope Reference, which is recommended. (1024)
- You have not provided an entry in 'ABP' (1048576)
- You have not provided an entry in 'HP' (2097152)</t>
        </r>
      </text>
    </comment>
    <comment ref="B357" authorId="1" shapeId="0" xr:uid="{00000000-0006-0000-0400-0000E7000000}">
      <text>
        <r>
          <rPr>
            <sz val="8"/>
            <color indexed="81"/>
            <rFont val="Tahoma"/>
            <family val="2"/>
          </rPr>
          <t>Warnings:
- You have not entered a Scope Reference, which is recommended. (1024)
- You have not provided an entry in 'ABP' (1048576)
- You have not provided an entry in 'HP' (2097152)</t>
        </r>
      </text>
    </comment>
    <comment ref="B358" authorId="1" shapeId="0" xr:uid="{00000000-0006-0000-0400-0000E8000000}">
      <text>
        <r>
          <rPr>
            <sz val="8"/>
            <color indexed="81"/>
            <rFont val="Tahoma"/>
            <family val="2"/>
          </rPr>
          <t>Warnings:
- You have not entered a Scope Reference, which is recommended. (1024)
- You have not provided an entry in 'ABP' (1048576)
- You have not provided an entry in 'HP' (2097152)</t>
        </r>
      </text>
    </comment>
    <comment ref="B359" authorId="1" shapeId="0" xr:uid="{00000000-0006-0000-0400-0000E9000000}">
      <text>
        <r>
          <rPr>
            <sz val="8"/>
            <color indexed="81"/>
            <rFont val="Tahoma"/>
            <family val="2"/>
          </rPr>
          <t>Warnings:
- You have not entered a Scope Reference, which is recommended. (1024)
- You have not provided an entry in 'ABP' (1048576)
- You have not provided an entry in 'HP' (2097152)</t>
        </r>
      </text>
    </comment>
    <comment ref="B360" authorId="1" shapeId="0" xr:uid="{00000000-0006-0000-0400-0000EA000000}">
      <text>
        <r>
          <rPr>
            <sz val="8"/>
            <color indexed="81"/>
            <rFont val="Tahoma"/>
            <family val="2"/>
          </rPr>
          <t>Warnings:
- You have not entered a Scope Reference, which is recommended. (1024)
- You have not provided an entry in 'ABP' (1048576)
- You have not provided an entry in 'HP' (2097152)</t>
        </r>
      </text>
    </comment>
    <comment ref="B361" authorId="1" shapeId="0" xr:uid="{00000000-0006-0000-0400-0000EB000000}">
      <text>
        <r>
          <rPr>
            <sz val="8"/>
            <color indexed="81"/>
            <rFont val="Tahoma"/>
            <family val="2"/>
          </rPr>
          <t>Warnings:
- You have not entered a Scope Reference, which is recommended. (1024)
- You have not provided an entry in 'ABP' (1048576)
- You have not provided an entry in 'HP' (2097152)</t>
        </r>
      </text>
    </comment>
    <comment ref="B362" authorId="1" shapeId="0" xr:uid="{00000000-0006-0000-0400-0000EC000000}">
      <text>
        <r>
          <rPr>
            <sz val="8"/>
            <color indexed="81"/>
            <rFont val="Tahoma"/>
            <family val="2"/>
          </rPr>
          <t>Warnings:
- You have not entered a Scope Reference, which is recommended. (1024)
- You have not provided an entry in 'ABP' (1048576)
- You have not provided an entry in 'HP' (2097152)</t>
        </r>
      </text>
    </comment>
    <comment ref="B363" authorId="1" shapeId="0" xr:uid="{00000000-0006-0000-0400-0000ED000000}">
      <text>
        <r>
          <rPr>
            <sz val="8"/>
            <color indexed="81"/>
            <rFont val="Tahoma"/>
            <family val="2"/>
          </rPr>
          <t>Warnings:
- You have not entered a Scope Reference, which is recommended. (1024)
- You have not provided an entry in 'ABP' (1048576)
- You have not provided an entry in 'HP' (2097152)</t>
        </r>
      </text>
    </comment>
    <comment ref="B364" authorId="1" shapeId="0" xr:uid="{00000000-0006-0000-0400-0000EE000000}">
      <text>
        <r>
          <rPr>
            <sz val="8"/>
            <color indexed="81"/>
            <rFont val="Tahoma"/>
            <family val="2"/>
          </rPr>
          <t>Warnings:
- You have not entered a Scope Reference, which is recommended. (1024)
- You have not provided an entry in 'ABP' (1048576)
- You have not provided an entry in 'HP' (2097152)</t>
        </r>
      </text>
    </comment>
    <comment ref="B365" authorId="1" shapeId="0" xr:uid="{00000000-0006-0000-0400-0000EF000000}">
      <text>
        <r>
          <rPr>
            <sz val="8"/>
            <color indexed="81"/>
            <rFont val="Tahoma"/>
            <family val="2"/>
          </rPr>
          <t>Warnings:
- You have not entered a Scope Reference, which is recommended. (1024)
- You have not provided an entry in 'ABP' (1048576)
- You have not provided an entry in 'HP' (2097152)</t>
        </r>
      </text>
    </comment>
    <comment ref="B366" authorId="1" shapeId="0" xr:uid="{00000000-0006-0000-0400-0000F0000000}">
      <text>
        <r>
          <rPr>
            <sz val="8"/>
            <color indexed="81"/>
            <rFont val="Tahoma"/>
            <family val="2"/>
          </rPr>
          <t>Warnings:
- You have not entered a Scope Reference, which is recommended. (1024)
- You have not provided an entry in 'ABP' (1048576)
- You have not provided an entry in 'HP' (2097152)</t>
        </r>
      </text>
    </comment>
    <comment ref="B367" authorId="1" shapeId="0" xr:uid="{00000000-0006-0000-0400-0000F1000000}">
      <text>
        <r>
          <rPr>
            <sz val="8"/>
            <color indexed="81"/>
            <rFont val="Tahoma"/>
            <family val="2"/>
          </rPr>
          <t>Warnings:
- You have not entered a Scope Reference, which is recommended. (1024)
- You have not provided an entry in 'ABP' (1048576)
- You have not provided an entry in 'HP' (2097152)</t>
        </r>
      </text>
    </comment>
    <comment ref="B368" authorId="1" shapeId="0" xr:uid="{00000000-0006-0000-0400-0000F2000000}">
      <text>
        <r>
          <rPr>
            <sz val="8"/>
            <color indexed="81"/>
            <rFont val="Tahoma"/>
            <family val="2"/>
          </rPr>
          <t>Warnings:
- You have not entered a Scope Reference, which is recommended. (1024)
- You have not provided an entry in 'ABP' (1048576)
- You have not provided an entry in 'HP' (2097152)</t>
        </r>
      </text>
    </comment>
    <comment ref="B369" authorId="1" shapeId="0" xr:uid="{00000000-0006-0000-0400-0000F3000000}">
      <text>
        <r>
          <rPr>
            <sz val="8"/>
            <color indexed="81"/>
            <rFont val="Tahoma"/>
            <family val="2"/>
          </rPr>
          <t>Warnings:
- You have not entered a Scope Reference, which is recommended. (1024)
- You have not provided an entry in 'ABP' (1048576)
- You have not provided an entry in 'HP' (2097152)</t>
        </r>
      </text>
    </comment>
    <comment ref="B370" authorId="1" shapeId="0" xr:uid="{00000000-0006-0000-0400-0000F4000000}">
      <text>
        <r>
          <rPr>
            <sz val="8"/>
            <color indexed="81"/>
            <rFont val="Tahoma"/>
            <family val="2"/>
          </rPr>
          <t>Warnings:
- You have not entered a Scope Reference, which is recommended. (1024)
- You have not provided an entry in 'ABP' (1048576)
- You have not provided an entry in 'HP' (2097152)</t>
        </r>
      </text>
    </comment>
    <comment ref="B371" authorId="1" shapeId="0" xr:uid="{00000000-0006-0000-0400-0000F5000000}">
      <text>
        <r>
          <rPr>
            <sz val="8"/>
            <color indexed="81"/>
            <rFont val="Tahoma"/>
            <family val="2"/>
          </rPr>
          <t>Warnings:
- You have not entered a Scope Reference, which is recommended. (1024)
- You have not provided an entry in 'ABP' (1048576)
- You have not provided an entry in 'HP' (2097152)</t>
        </r>
      </text>
    </comment>
    <comment ref="B372" authorId="1" shapeId="0" xr:uid="{00000000-0006-0000-0400-0000F6000000}">
      <text>
        <r>
          <rPr>
            <sz val="8"/>
            <color indexed="81"/>
            <rFont val="Tahoma"/>
            <family val="2"/>
          </rPr>
          <t>Warnings:
- You have not entered a Scope Reference, which is recommended. (1024)
- You have not provided an entry in 'ABP' (1048576)
- You have not provided an entry in 'HP' (2097152)</t>
        </r>
      </text>
    </comment>
    <comment ref="B373" authorId="1" shapeId="0" xr:uid="{00000000-0006-0000-0400-0000F7000000}">
      <text>
        <r>
          <rPr>
            <sz val="8"/>
            <color indexed="81"/>
            <rFont val="Tahoma"/>
            <family val="2"/>
          </rPr>
          <t>Warnings:
- You have not entered a Scope Reference, which is recommended. (1024)
- You have not provided an entry in 'ABP' (1048576)
- You have not provided an entry in 'HP' (2097152)</t>
        </r>
      </text>
    </comment>
    <comment ref="B374" authorId="1" shapeId="0" xr:uid="{00000000-0006-0000-0400-0000F8000000}">
      <text>
        <r>
          <rPr>
            <sz val="8"/>
            <color indexed="81"/>
            <rFont val="Tahoma"/>
            <family val="2"/>
          </rPr>
          <t>Warnings:
- You have not entered a Scope Reference, which is recommended. (1024)
- You have not provided an entry in 'ABP' (1048576)
- You have not provided an entry in 'HP' (2097152)</t>
        </r>
      </text>
    </comment>
    <comment ref="B375" authorId="1" shapeId="0" xr:uid="{00000000-0006-0000-0400-0000F9000000}">
      <text>
        <r>
          <rPr>
            <sz val="8"/>
            <color indexed="81"/>
            <rFont val="Tahoma"/>
            <family val="2"/>
          </rPr>
          <t>Warnings:
- You have not entered a Scope Reference, which is recommended. (1024)
- You have not provided an entry in 'ABP' (1048576)
- You have not provided an entry in 'HP' (2097152)</t>
        </r>
      </text>
    </comment>
    <comment ref="B376" authorId="1" shapeId="0" xr:uid="{00000000-0006-0000-0400-0000FA000000}">
      <text>
        <r>
          <rPr>
            <sz val="8"/>
            <color indexed="81"/>
            <rFont val="Tahoma"/>
            <family val="2"/>
          </rPr>
          <t>Warnings:
- You have not entered a Scope Reference, which is recommended. (1024)
- You have not provided an entry in 'ABP' (1048576)
- You have not provided an entry in 'HP' (2097152)</t>
        </r>
      </text>
    </comment>
    <comment ref="B377" authorId="1" shapeId="0" xr:uid="{00000000-0006-0000-0400-0000FB000000}">
      <text>
        <r>
          <rPr>
            <sz val="8"/>
            <color indexed="81"/>
            <rFont val="Tahoma"/>
            <family val="2"/>
          </rPr>
          <t>Warnings:
- You have not entered a Scope Reference, which is recommended. (1024)
- You have not provided an entry in 'ABP' (1048576)
- You have not provided an entry in 'HP' (2097152)</t>
        </r>
      </text>
    </comment>
    <comment ref="B378" authorId="1" shapeId="0" xr:uid="{00000000-0006-0000-0400-0000FC000000}">
      <text>
        <r>
          <rPr>
            <sz val="8"/>
            <color indexed="81"/>
            <rFont val="Tahoma"/>
            <family val="2"/>
          </rPr>
          <t>Warnings:
- You have not entered a Scope Reference, which is recommended. (1024)
- You have not provided an entry in 'ABP' (1048576)
- You have not provided an entry in 'HP' (2097152)</t>
        </r>
      </text>
    </comment>
    <comment ref="B379" authorId="1" shapeId="0" xr:uid="{00000000-0006-0000-0400-0000FD000000}">
      <text>
        <r>
          <rPr>
            <sz val="8"/>
            <color indexed="81"/>
            <rFont val="Tahoma"/>
            <family val="2"/>
          </rPr>
          <t>Warnings:
- You have not entered a Scope Reference, which is recommended. (1024)
- You have not provided an entry in 'ABP' (1048576)
- You have not provided an entry in 'HP' (2097152)</t>
        </r>
      </text>
    </comment>
    <comment ref="B380" authorId="1" shapeId="0" xr:uid="{00000000-0006-0000-0400-0000FE000000}">
      <text>
        <r>
          <rPr>
            <sz val="8"/>
            <color indexed="81"/>
            <rFont val="Tahoma"/>
            <family val="2"/>
          </rPr>
          <t>Warnings:
- You have not entered a Scope Reference, which is recommended. (1024)
- You have not provided an entry in 'ABP' (1048576)
- You have not provided an entry in 'HP' (2097152)</t>
        </r>
      </text>
    </comment>
    <comment ref="B381" authorId="1" shapeId="0" xr:uid="{00000000-0006-0000-0400-0000FF000000}">
      <text>
        <r>
          <rPr>
            <sz val="8"/>
            <color indexed="81"/>
            <rFont val="Tahoma"/>
            <family val="2"/>
          </rPr>
          <t>Warnings:
- You have not entered a Scope Reference, which is recommended. (1024)
- You have not provided an entry in 'ABP' (1048576)
- You have not provided an entry in 'HP' (2097152)</t>
        </r>
      </text>
    </comment>
    <comment ref="B382" authorId="1" shapeId="0" xr:uid="{00000000-0006-0000-0400-000000010000}">
      <text>
        <r>
          <rPr>
            <sz val="8"/>
            <color indexed="81"/>
            <rFont val="Tahoma"/>
            <family val="2"/>
          </rPr>
          <t>Warnings:
- You have not entered a Scope Reference, which is recommended. (1024)
- You have not provided an entry in 'ABP' (1048576)
- You have not provided an entry in 'HP' (2097152)</t>
        </r>
      </text>
    </comment>
    <comment ref="B383" authorId="1" shapeId="0" xr:uid="{00000000-0006-0000-0400-000001010000}">
      <text>
        <r>
          <rPr>
            <sz val="8"/>
            <color indexed="81"/>
            <rFont val="Tahoma"/>
            <family val="2"/>
          </rPr>
          <t>Warnings:
- You have not entered a Scope Reference, which is recommended. (1024)
- You have not provided an entry in 'ABP' (1048576)
- You have not provided an entry in 'HP' (2097152)</t>
        </r>
      </text>
    </comment>
    <comment ref="B387" authorId="1" shapeId="0" xr:uid="{00000000-0006-0000-0400-000002010000}">
      <text>
        <r>
          <rPr>
            <sz val="8"/>
            <color indexed="81"/>
            <rFont val="Tahoma"/>
            <family val="2"/>
          </rPr>
          <t>Errors:
- You have not provided an entry in 'Category'. (128)
Warnings:
- You have not entered a Scope Reference, which is recommended. (1024)</t>
        </r>
      </text>
    </comment>
    <comment ref="B388" authorId="1" shapeId="0" xr:uid="{00000000-0006-0000-0400-000003010000}">
      <text>
        <r>
          <rPr>
            <sz val="8"/>
            <color indexed="81"/>
            <rFont val="Tahoma"/>
            <family val="2"/>
          </rPr>
          <t>Errors:
- You have not provided an entry in 'Category'. (128)
Warnings:
- You have not entered a Scope Reference, which is recommended. (1024)</t>
        </r>
      </text>
    </comment>
    <comment ref="B389" authorId="1" shapeId="0" xr:uid="{00000000-0006-0000-0400-000004010000}">
      <text>
        <r>
          <rPr>
            <sz val="8"/>
            <color indexed="81"/>
            <rFont val="Tahoma"/>
            <family val="2"/>
          </rPr>
          <t>Errors:
- You have not provided an entry in 'Category'. (128)
- The 'ABP' is not a multiple of '0.25'. (8192)
- The 'HP' is not a multiple of '0.25'. (16384)
Warnings:
- You have not entered a Scope Reference, which is recommended. (1024)</t>
        </r>
      </text>
    </comment>
    <comment ref="B390" authorId="1" shapeId="0" xr:uid="{00000000-0006-0000-0400-000005010000}">
      <text>
        <r>
          <rPr>
            <sz val="8"/>
            <color indexed="81"/>
            <rFont val="Tahoma"/>
            <family val="2"/>
          </rPr>
          <t>Errors:
- You have not provided an entry in 'Category'. (128)
- The 'ABP' is not a multiple of '0.25'. (8192)
- The 'HP' is not a multiple of '0.25'. (16384)
Warnings:
- You have not entered a Scope Reference, which is recommended. (1024)</t>
        </r>
      </text>
    </comment>
    <comment ref="B396" authorId="1" shapeId="0" xr:uid="{00000000-0006-0000-0400-000006010000}">
      <text>
        <r>
          <rPr>
            <sz val="8"/>
            <color indexed="81"/>
            <rFont val="Tahoma"/>
            <family val="2"/>
          </rPr>
          <t>Errors:
- You have not provided an entry in 'Category'. (128)
Warnings:
- You have not entered a Scope Reference, which is recommended. (1024)</t>
        </r>
      </text>
    </comment>
    <comment ref="B397" authorId="1" shapeId="0" xr:uid="{00000000-0006-0000-0400-000007010000}">
      <text>
        <r>
          <rPr>
            <sz val="8"/>
            <color indexed="81"/>
            <rFont val="Tahoma"/>
            <family val="2"/>
          </rPr>
          <t>Errors:
- You have not provided an entry in 'Category'. (128)
Warnings:
- You have not entered a Scope Reference, which is recommended. (1024)</t>
        </r>
      </text>
    </comment>
    <comment ref="B398" authorId="1" shapeId="0" xr:uid="{00000000-0006-0000-0400-000008010000}">
      <text>
        <r>
          <rPr>
            <sz val="8"/>
            <color indexed="81"/>
            <rFont val="Tahoma"/>
            <family val="2"/>
          </rPr>
          <t>Errors:
- You have not provided an entry in 'Category'. (128)
- The 'ABP' is not a multiple of '0.25'. (8192)
- The 'HP' is not a multiple of '0.25'. (16384)
Warnings:
- You have not entered a Scope Reference, which is recommended. (1024)</t>
        </r>
      </text>
    </comment>
    <comment ref="B399" authorId="1" shapeId="0" xr:uid="{00000000-0006-0000-0400-000009010000}">
      <text>
        <r>
          <rPr>
            <sz val="8"/>
            <color indexed="81"/>
            <rFont val="Tahoma"/>
            <family val="2"/>
          </rPr>
          <t>Errors:
- You have not provided an entry in 'Category'. (128)
- The 'HP' is not a multiple of '0.25'. (16384)
Warnings:
- You have not entered a Scope Reference, which is recommended. (1024)</t>
        </r>
      </text>
    </comment>
    <comment ref="B400" authorId="1" shapeId="0" xr:uid="{00000000-0006-0000-0400-00000A010000}">
      <text>
        <r>
          <rPr>
            <sz val="8"/>
            <color indexed="81"/>
            <rFont val="Tahoma"/>
            <family val="2"/>
          </rPr>
          <t>Errors:
- You have not provided an entry in 'Category'. (128)
- The 'HP' is not a multiple of '0.25'. (16384)
Warnings:
- You have not entered a Scope Reference, which is recommended. (1024)</t>
        </r>
      </text>
    </comment>
    <comment ref="B401" authorId="1" shapeId="0" xr:uid="{00000000-0006-0000-0400-00000B010000}">
      <text>
        <r>
          <rPr>
            <sz val="8"/>
            <color indexed="81"/>
            <rFont val="Tahoma"/>
            <family val="2"/>
          </rPr>
          <t>Errors:
- You have not provided an entry in 'Category'. (128)
- The 'HP' is not a multiple of '0.25'. (16384)
Warnings:
- You have not entered a Scope Reference, which is recommended. (1024)</t>
        </r>
      </text>
    </comment>
    <comment ref="B402" authorId="1" shapeId="0" xr:uid="{00000000-0006-0000-0400-00000C010000}">
      <text>
        <r>
          <rPr>
            <sz val="8"/>
            <color indexed="81"/>
            <rFont val="Tahoma"/>
            <family val="2"/>
          </rPr>
          <t>Errors:
- You have not provided an entry in 'Category'. (128)
- The 'ABP' is not a multiple of '0.25'. (8192)
- The 'HP' is not a multiple of '0.25'. (16384)
Warnings:
- You have not entered a Scope Reference, which is recommended. (1024)</t>
        </r>
      </text>
    </comment>
    <comment ref="B403" authorId="1" shapeId="0" xr:uid="{00000000-0006-0000-0400-00000D010000}">
      <text>
        <r>
          <rPr>
            <sz val="8"/>
            <color indexed="81"/>
            <rFont val="Tahoma"/>
            <family val="2"/>
          </rPr>
          <t>Errors:
- You have not provided an entry in 'Category'. (128)
- The 'HP' is not a multiple of '0.25'. (16384)
Warnings:
- You have not entered a Scope Reference, which is recommended. (1024)</t>
        </r>
      </text>
    </comment>
    <comment ref="B404" authorId="1" shapeId="0" xr:uid="{00000000-0006-0000-0400-00000E010000}">
      <text>
        <r>
          <rPr>
            <sz val="8"/>
            <color indexed="81"/>
            <rFont val="Tahoma"/>
            <family val="2"/>
          </rPr>
          <t>Errors:
- You have not provided an entry in 'Category'. (128)
- The 'HP' is not a multiple of '0.25'. (16384)
Warnings:
- You have not entered a Scope Reference, which is recommended. (1024)</t>
        </r>
      </text>
    </comment>
    <comment ref="B405" authorId="1" shapeId="0" xr:uid="{00000000-0006-0000-0400-00000F010000}">
      <text>
        <r>
          <rPr>
            <sz val="8"/>
            <color indexed="81"/>
            <rFont val="Tahoma"/>
            <family val="2"/>
          </rPr>
          <t>Errors:
- You have not provided an entry in 'Category'. (128)
- The 'HP' is not a multiple of '0.25'. (16384)
Warnings:
- You have not entered a Scope Reference, which is recommended. (1024)</t>
        </r>
      </text>
    </comment>
    <comment ref="B406" authorId="1" shapeId="0" xr:uid="{00000000-0006-0000-0400-000010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07" authorId="1" shapeId="0" xr:uid="{00000000-0006-0000-0400-000011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2" authorId="1" shapeId="0" xr:uid="{00000000-0006-0000-0400-000012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4" authorId="1" shapeId="0" xr:uid="{00000000-0006-0000-0400-000013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5" authorId="1" shapeId="0" xr:uid="{00000000-0006-0000-0400-000014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6" authorId="1" shapeId="0" xr:uid="{00000000-0006-0000-0400-000015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7" authorId="1" shapeId="0" xr:uid="{00000000-0006-0000-0400-000016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8" authorId="1" shapeId="0" xr:uid="{00000000-0006-0000-0400-000017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19" authorId="1" shapeId="0" xr:uid="{00000000-0006-0000-0400-000018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21" authorId="1" shapeId="0" xr:uid="{00000000-0006-0000-0400-000019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1" authorId="1" shapeId="0" xr:uid="{00000000-0006-0000-0400-00001A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2" authorId="1" shapeId="0" xr:uid="{00000000-0006-0000-0400-00001B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3" authorId="1" shapeId="0" xr:uid="{00000000-0006-0000-0400-00001C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4" authorId="1" shapeId="0" xr:uid="{00000000-0006-0000-0400-00001D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5" authorId="1" shapeId="0" xr:uid="{00000000-0006-0000-0400-00001E010000}">
      <text>
        <r>
          <rPr>
            <sz val="8"/>
            <color indexed="81"/>
            <rFont val="Tahoma"/>
            <family val="2"/>
          </rPr>
          <t>Errors:
- You have not provided an entry in 'Category'. (128)
Warnings:
- You have not entered a Scope Reference, which is recommended. (1024)
- You have not provided an entry in 'ABP' (1048576)
- You have not provided an entry in 'HP' (2097152)</t>
        </r>
      </text>
    </comment>
    <comment ref="B458" authorId="1" shapeId="0" xr:uid="{00000000-0006-0000-0400-00001F010000}">
      <text>
        <r>
          <rPr>
            <sz val="8"/>
            <color indexed="81"/>
            <rFont val="Tahoma"/>
            <family val="2"/>
          </rPr>
          <t>Errors:
- You have not provided an entry in 'Category'. (128)
Warnings:
- You have not entered a Scope Reference, which is recommended. (1024)</t>
        </r>
      </text>
    </comment>
    <comment ref="B459" authorId="1" shapeId="0" xr:uid="{00000000-0006-0000-0400-000020010000}">
      <text>
        <r>
          <rPr>
            <sz val="8"/>
            <color indexed="81"/>
            <rFont val="Tahoma"/>
            <family val="2"/>
          </rPr>
          <t>Errors:
- You have not provided an entry in 'Category'. (128)
Warnings:
- You have not entered a Scope Reference, which is recommended. (1024)</t>
        </r>
      </text>
    </comment>
    <comment ref="B460" authorId="1" shapeId="0" xr:uid="{00000000-0006-0000-0400-000021010000}">
      <text>
        <r>
          <rPr>
            <sz val="8"/>
            <color indexed="81"/>
            <rFont val="Tahoma"/>
            <family val="2"/>
          </rPr>
          <t>Errors:
- You have not provided an entry in 'Category'. (128)
Warnings:
- You have not entered a Scope Reference, which is recommended. (1024)</t>
        </r>
      </text>
    </comment>
    <comment ref="B461" authorId="1" shapeId="0" xr:uid="{00000000-0006-0000-0400-000022010000}">
      <text>
        <r>
          <rPr>
            <sz val="8"/>
            <color indexed="81"/>
            <rFont val="Tahoma"/>
            <family val="2"/>
          </rPr>
          <t>Errors:
- You have not provided an entry in 'Category'. (128)
Warnings:
- You have not entered a Scope Reference, which is recommended. (1024)</t>
        </r>
      </text>
    </comment>
    <comment ref="B462" authorId="1" shapeId="0" xr:uid="{00000000-0006-0000-0400-000023010000}">
      <text>
        <r>
          <rPr>
            <sz val="8"/>
            <color indexed="81"/>
            <rFont val="Tahoma"/>
            <family val="2"/>
          </rPr>
          <t>Errors:
- You have not provided an entry in 'Category'. (128)
Warnings:
- You have not entered a Scope Reference, which is recommended. (1024)</t>
        </r>
      </text>
    </comment>
    <comment ref="B463" authorId="1" shapeId="0" xr:uid="{00000000-0006-0000-0400-000024010000}">
      <text>
        <r>
          <rPr>
            <sz val="8"/>
            <color indexed="81"/>
            <rFont val="Tahoma"/>
            <family val="2"/>
          </rPr>
          <t>Errors:
- You have not provided an entry in 'Category'. (128)
Warnings:
- You have not entered a Scope Reference, which is recommended. (1024)</t>
        </r>
      </text>
    </comment>
    <comment ref="B464" authorId="1" shapeId="0" xr:uid="{00000000-0006-0000-0400-000025010000}">
      <text>
        <r>
          <rPr>
            <sz val="8"/>
            <color indexed="81"/>
            <rFont val="Tahoma"/>
            <family val="2"/>
          </rPr>
          <t>Errors:
- You have not provided an entry in 'Category'. (128)
Warnings:
- You have not entered a Scope Reference, which is recommended. (1024)</t>
        </r>
      </text>
    </comment>
    <comment ref="B465" authorId="1" shapeId="0" xr:uid="{00000000-0006-0000-0400-000026010000}">
      <text>
        <r>
          <rPr>
            <sz val="8"/>
            <color indexed="81"/>
            <rFont val="Tahoma"/>
            <family val="2"/>
          </rPr>
          <t>Errors:
- The 'Multiplier' cannot be smaller than 1. (524288)
- You have not provided an entry in 'Category'. (128)
Warnings:
- You have not entered a Scope Reference, which is recommended. (1024)
- You have not provided an entry in 'Multiplier' (4194304)</t>
        </r>
      </text>
    </comment>
    <comment ref="B466" authorId="1" shapeId="0" xr:uid="{00000000-0006-0000-0400-000027010000}">
      <text>
        <r>
          <rPr>
            <sz val="8"/>
            <color indexed="81"/>
            <rFont val="Tahoma"/>
            <family val="2"/>
          </rPr>
          <t>Errors:
- You have not provided an entry in 'Category'. (128)
Warnings:
- You have not entered a Scope Reference, which is recommended. (1024)</t>
        </r>
      </text>
    </comment>
    <comment ref="B467" authorId="1" shapeId="0" xr:uid="{00000000-0006-0000-0400-000028010000}">
      <text>
        <r>
          <rPr>
            <sz val="8"/>
            <color indexed="81"/>
            <rFont val="Tahoma"/>
            <family val="2"/>
          </rPr>
          <t>Errors:
- You have not provided an entry in 'Category'. (128)
Warnings:
- You have not entered a Scope Reference, which is recommended. (1024)</t>
        </r>
      </text>
    </comment>
    <comment ref="B468" authorId="1" shapeId="0" xr:uid="{00000000-0006-0000-0400-000029010000}">
      <text>
        <r>
          <rPr>
            <sz val="8"/>
            <color indexed="81"/>
            <rFont val="Tahoma"/>
            <family val="2"/>
          </rPr>
          <t>Errors:
- The 'Multiplier' cannot be smaller than 1. (524288)
- You have not provided an entry in 'Category'. (128)
Warnings:
- You have not entered a Scope Reference, which is recommended. (1024)
- You have not provided an entry in 'Multiplier' (4194304)</t>
        </r>
      </text>
    </comment>
    <comment ref="B469" authorId="1" shapeId="0" xr:uid="{00000000-0006-0000-0400-00002A010000}">
      <text>
        <r>
          <rPr>
            <sz val="8"/>
            <color indexed="81"/>
            <rFont val="Tahoma"/>
            <family val="2"/>
          </rPr>
          <t>Errors:
- You have not provided an entry in 'Category'. (128)
Warnings:
- You have not entered a Scope Reference, which is recommended. (1024)</t>
        </r>
      </text>
    </comment>
    <comment ref="B470" authorId="1" shapeId="0" xr:uid="{00000000-0006-0000-0400-00002B010000}">
      <text>
        <r>
          <rPr>
            <sz val="8"/>
            <color indexed="81"/>
            <rFont val="Tahoma"/>
            <family val="2"/>
          </rPr>
          <t>Errors:
- You have not provided an entry in 'Category'. (128)
Warnings:
- You have not entered a Scope Reference, which is recommended. (1024)</t>
        </r>
      </text>
    </comment>
    <comment ref="B471" authorId="1" shapeId="0" xr:uid="{00000000-0006-0000-0400-00002C010000}">
      <text>
        <r>
          <rPr>
            <sz val="8"/>
            <color indexed="81"/>
            <rFont val="Tahoma"/>
            <family val="2"/>
          </rPr>
          <t>Errors:
- The 'Multiplier' cannot be smaller than 1. (524288)
- You have not provided an entry in 'Category'. (128)
Warnings:
- You have not entered a Scope Reference, which is recommended. (1024)
- You have not provided an entry in 'Multiplier' (4194304)</t>
        </r>
      </text>
    </comment>
    <comment ref="B472" authorId="1" shapeId="0" xr:uid="{00000000-0006-0000-0400-00002D010000}">
      <text>
        <r>
          <rPr>
            <sz val="8"/>
            <color indexed="81"/>
            <rFont val="Tahoma"/>
            <family val="2"/>
          </rPr>
          <t>Errors:
- You have not provided an entry in 'Category'. (128)
Warnings:
- You have not entered a Scope Reference, which is recommended. (1024)</t>
        </r>
      </text>
    </comment>
    <comment ref="B473" authorId="1" shapeId="0" xr:uid="{00000000-0006-0000-0400-00002E010000}">
      <text>
        <r>
          <rPr>
            <sz val="8"/>
            <color indexed="81"/>
            <rFont val="Tahoma"/>
            <family val="2"/>
          </rPr>
          <t>Errors:
- You have not provided an entry in 'Category'. (128)
Warnings:
- You have not entered a Scope Reference, which is recommended. (1024)</t>
        </r>
      </text>
    </comment>
    <comment ref="B474" authorId="1" shapeId="0" xr:uid="{00000000-0006-0000-0400-00002F010000}">
      <text>
        <r>
          <rPr>
            <sz val="8"/>
            <color indexed="81"/>
            <rFont val="Tahoma"/>
            <family val="2"/>
          </rPr>
          <t>Errors:
- You have not provided an entry in 'Category'. (128)
Warnings:
- You have not entered a Scope Reference, which is recommended. (1024)</t>
        </r>
      </text>
    </comment>
    <comment ref="B475" authorId="1" shapeId="0" xr:uid="{00000000-0006-0000-0400-000030010000}">
      <text>
        <r>
          <rPr>
            <sz val="8"/>
            <color indexed="81"/>
            <rFont val="Tahoma"/>
            <family val="2"/>
          </rPr>
          <t>Errors:
- You have not provided an entry in 'Category'. (128)
Warnings:
- You have not entered a Scope Reference, which is recommended. (1024)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B9" authorId="0" shapeId="0" xr:uid="{00000000-0006-0000-0500-000001000000}">
      <text>
        <r>
          <rPr>
            <sz val="8"/>
            <color indexed="81"/>
            <rFont val="Tahoma"/>
            <family val="2"/>
          </rPr>
          <t>The category to which this add-in belongs.</t>
        </r>
      </text>
    </comment>
    <comment ref="C9" authorId="0" shapeId="0" xr:uid="{00000000-0006-0000-0500-000002000000}">
      <text>
        <r>
          <rPr>
            <sz val="8"/>
            <color indexed="81"/>
            <rFont val="Tahoma"/>
            <family val="2"/>
          </rPr>
          <t>If known, the Track that will be affected by this add-in.</t>
        </r>
      </text>
    </comment>
    <comment ref="D9" authorId="0" shapeId="0" xr:uid="{00000000-0006-0000-0500-000003000000}">
      <text>
        <r>
          <rPr>
            <sz val="8"/>
            <color indexed="81"/>
            <rFont val="Tahoma"/>
            <family val="2"/>
          </rPr>
          <t>If appropriate, include sub-items (use tabs to indent, or add columns of you prefer)</t>
        </r>
      </text>
    </comment>
    <comment ref="E9" authorId="0" shapeId="0" xr:uid="{00000000-0006-0000-0500-000004000000}">
      <text>
        <r>
          <rPr>
            <sz val="8"/>
            <color indexed="81"/>
            <rFont val="Tahoma"/>
            <family val="2"/>
          </rPr>
          <t>Enter the number of people on the team to account for.  If this field is left blank then a value of 1 is used to determine the LOE.</t>
        </r>
      </text>
    </comment>
    <comment ref="H9" authorId="0" shapeId="0" xr:uid="{00000000-0006-0000-0500-000005000000}">
      <text>
        <r>
          <rPr>
            <sz val="8"/>
            <color indexed="81"/>
            <rFont val="Tahoma"/>
            <family val="2"/>
          </rPr>
          <t>Note that this will reflect the Total LOE including the team size.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B10" authorId="0" shapeId="0" xr:uid="{00000000-0006-0000-0600-000001000000}">
      <text>
        <r>
          <rPr>
            <sz val="8"/>
            <color indexed="81"/>
            <rFont val="Tahoma"/>
            <family val="2"/>
          </rPr>
          <t>The category to which this risk belongs.</t>
        </r>
      </text>
    </comment>
    <comment ref="C10" authorId="0" shapeId="0" xr:uid="{00000000-0006-0000-0600-000002000000}">
      <text>
        <r>
          <rPr>
            <sz val="8"/>
            <color indexed="81"/>
            <rFont val="Tahoma"/>
            <family val="2"/>
          </rPr>
          <t>If known, the Track that will be affected by this risk</t>
        </r>
      </text>
    </comment>
    <comment ref="E10" authorId="0" shapeId="0" xr:uid="{00000000-0006-0000-0600-000003000000}">
      <text>
        <r>
          <rPr>
            <sz val="8"/>
            <color indexed="81"/>
            <rFont val="Tahoma"/>
            <family val="2"/>
          </rPr>
          <t>Enter the number of people on the team to account for.  If this field is left blank then a value of 1 is used in the Risk calculation.</t>
        </r>
      </text>
    </comment>
    <comment ref="F10" authorId="0" shapeId="0" xr:uid="{00000000-0006-0000-0600-000004000000}">
      <text>
        <r>
          <rPr>
            <sz val="8"/>
            <color indexed="81"/>
            <rFont val="Tahoma"/>
            <family val="2"/>
          </rPr>
          <t>Enter a value in person days</t>
        </r>
      </text>
    </comment>
    <comment ref="G10" authorId="0" shapeId="0" xr:uid="{00000000-0006-0000-0600-000005000000}">
      <text>
        <r>
          <rPr>
            <sz val="8"/>
            <color indexed="81"/>
            <rFont val="Tahoma"/>
            <family val="2"/>
          </rPr>
          <t>Chance of something happening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C9" authorId="0" shapeId="0" xr:uid="{00000000-0006-0000-0700-000001000000}">
      <text>
        <r>
          <rPr>
            <sz val="8"/>
            <color indexed="81"/>
            <rFont val="Tahoma"/>
            <family val="2"/>
          </rPr>
          <t>Enter the Monday the project will start, in the format DD-MON-YY.</t>
        </r>
      </text>
    </comment>
    <comment ref="C10" authorId="0" shapeId="0" xr:uid="{00000000-0006-0000-0700-000002000000}">
      <text>
        <r>
          <rPr>
            <sz val="8"/>
            <color indexed="81"/>
            <rFont val="Tahoma"/>
            <family val="2"/>
          </rPr>
          <t>Enter the Friday  the project will end, in the format DD-MON-YY.</t>
        </r>
      </text>
    </comment>
    <comment ref="C17" authorId="0" shapeId="0" xr:uid="{00000000-0006-0000-0700-000003000000}">
      <text>
        <r>
          <rPr>
            <sz val="8"/>
            <color indexed="81"/>
            <rFont val="Tahoma"/>
            <family val="2"/>
          </rPr>
          <t xml:space="preserve">Enter all oversight roles with associated percentage allocation (0-1) for each week of the project.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B23" authorId="0" shapeId="0" xr:uid="{00000000-0006-0000-0900-000001000000}">
      <text>
        <r>
          <rPr>
            <sz val="8"/>
            <color indexed="81"/>
            <rFont val="Tahoma"/>
            <family val="2"/>
          </rPr>
          <t>Sum of WBS, add-ins, objective risk and oversight LOE</t>
        </r>
      </text>
    </comment>
    <comment ref="B24" authorId="0" shapeId="0" xr:uid="{00000000-0006-0000-0900-000002000000}">
      <text>
        <r>
          <rPr>
            <sz val="8"/>
            <color indexed="81"/>
            <rFont val="Tahoma"/>
            <family val="2"/>
          </rPr>
          <t>Based on staffing plan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Benjamin Angel</author>
  </authors>
  <commentList>
    <comment ref="D1" authorId="0" shapeId="0" xr:uid="{00000000-0006-0000-0D00-000001000000}">
      <text>
        <r>
          <rPr>
            <sz val="8"/>
            <color indexed="81"/>
            <rFont val="Tahoma"/>
            <family val="2"/>
          </rPr>
          <t>based on named ranges to retrieve the column index</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Sapient</author>
    <author>Manjush Kumar Cheruveedu</author>
    <author>WIN764BIT</author>
  </authors>
  <commentList>
    <comment ref="B1" authorId="0" shapeId="0" xr:uid="{00000000-0006-0000-1000-000001000000}">
      <text>
        <r>
          <rPr>
            <sz val="8"/>
            <color indexed="81"/>
            <rFont val="Tahoma"/>
            <family val="2"/>
          </rPr>
          <t xml:space="preserve">Capture a concise description of the requirement. Based on your editing preferences, you may want to use multiple columns here instead of one (with tabs). Feel free to insert as many columns as needed (you will need to adjust printing).
</t>
        </r>
      </text>
    </comment>
    <comment ref="B49" authorId="1" shapeId="0" xr:uid="{00000000-0006-0000-1000-000002000000}">
      <text>
        <r>
          <rPr>
            <b/>
            <sz val="8"/>
            <color indexed="81"/>
            <rFont val="Tahoma"/>
            <family val="2"/>
          </rPr>
          <t>Manjush Kumar Cheruveedu:</t>
        </r>
        <r>
          <rPr>
            <sz val="8"/>
            <color indexed="81"/>
            <rFont val="Tahoma"/>
            <family val="2"/>
          </rPr>
          <t xml:space="preserve">
Taken into account the effort to source perf data from Synthesis instead of IIR.</t>
        </r>
      </text>
    </comment>
    <comment ref="C96" authorId="2" shapeId="0" xr:uid="{00000000-0006-0000-1000-000003000000}">
      <text>
        <r>
          <rPr>
            <b/>
            <sz val="8"/>
            <color indexed="81"/>
            <rFont val="Tahoma"/>
            <family val="2"/>
          </rPr>
          <t>WIN764BIT:</t>
        </r>
        <r>
          <rPr>
            <sz val="8"/>
            <color indexed="81"/>
            <rFont val="Tahoma"/>
            <family val="2"/>
          </rPr>
          <t xml:space="preserve">
Changed to 3 from 2</t>
        </r>
      </text>
    </comment>
  </commentList>
</comments>
</file>

<file path=xl/sharedStrings.xml><?xml version="1.0" encoding="utf-8"?>
<sst xmlns="http://schemas.openxmlformats.org/spreadsheetml/2006/main" count="6451" uniqueCount="1832">
  <si>
    <t>Help - Estimation Tool</t>
  </si>
  <si>
    <t>Introduction</t>
  </si>
  <si>
    <t>This Estimation tool is one of many tools that you will use to estimate and plan your project. Other tools you will use are the Scope Matrix, Release plan, Staffing Plan (included as a tab in this tool), Deal Tool (a.k.a. pricing sheet) and the planning features of ResultSpace. Estimation and planning are intertwined activities. This tool is not intended as a guide to the process, but merely as an efficient, consistent capture tool. Included boilerplate content helps teams avoid forgetting commonly conducted activities.</t>
  </si>
  <si>
    <t>Instructions</t>
  </si>
  <si>
    <r>
      <t xml:space="preserve">The use of this tool is not entirely linear. Use this as a general guide, and please post any questions you may have on the Sapient Approach space on Vox.
1. Capture basic info for your project on the </t>
    </r>
    <r>
      <rPr>
        <i/>
        <sz val="10"/>
        <color theme="1"/>
        <rFont val="Calibri"/>
        <family val="2"/>
        <scheme val="minor"/>
      </rPr>
      <t>Project Overview</t>
    </r>
    <r>
      <rPr>
        <sz val="10"/>
        <color theme="1"/>
        <rFont val="Calibri"/>
        <family val="2"/>
        <scheme val="minor"/>
      </rPr>
      <t xml:space="preserve"> tab. This will drive headers to facilitate printing.
2. Identify the metrics for the project and enter these in the </t>
    </r>
    <r>
      <rPr>
        <i/>
        <sz val="10"/>
        <color theme="1"/>
        <rFont val="Calibri"/>
        <family val="2"/>
        <scheme val="minor"/>
      </rPr>
      <t>Tasks (Metrics)</t>
    </r>
    <r>
      <rPr>
        <sz val="10"/>
        <color theme="1"/>
        <rFont val="Calibri"/>
        <family val="2"/>
        <scheme val="minor"/>
      </rPr>
      <t xml:space="preserve"> tab.
3. Populate the tasks for every one of the metrics identified/ selected.
4. Populate the </t>
    </r>
    <r>
      <rPr>
        <i/>
        <sz val="10"/>
        <color theme="1"/>
        <rFont val="Calibri"/>
        <family val="2"/>
        <scheme val="minor"/>
      </rPr>
      <t>Metrics</t>
    </r>
    <r>
      <rPr>
        <sz val="10"/>
        <color theme="1"/>
        <rFont val="Calibri"/>
        <family val="2"/>
        <scheme val="minor"/>
      </rPr>
      <t xml:space="preserve"> sheet with metrics that are appropriate for the project.
5. Decompose your solution requirements into stories on the </t>
    </r>
    <r>
      <rPr>
        <i/>
        <sz val="10"/>
        <color theme="1"/>
        <rFont val="Calibri"/>
        <family val="2"/>
        <scheme val="minor"/>
      </rPr>
      <t>Stories</t>
    </r>
    <r>
      <rPr>
        <sz val="10"/>
        <color theme="1"/>
        <rFont val="Calibri"/>
        <family val="2"/>
        <scheme val="minor"/>
      </rPr>
      <t xml:space="preserve"> tab.
6. Enter your ABP/ HP estimates for each story.
7. Create a release plan outside this tool, assigning each story to an iteration.
8. Create </t>
    </r>
    <r>
      <rPr>
        <i/>
        <sz val="10"/>
        <color theme="1"/>
        <rFont val="Calibri"/>
        <family val="2"/>
        <scheme val="minor"/>
      </rPr>
      <t>Add-ins</t>
    </r>
    <r>
      <rPr>
        <sz val="10"/>
        <color theme="1"/>
        <rFont val="Calibri"/>
        <family val="2"/>
        <scheme val="minor"/>
      </rPr>
      <t xml:space="preserve"> (some of which are based on the level of staffing).
9. Document </t>
    </r>
    <r>
      <rPr>
        <i/>
        <sz val="10"/>
        <color theme="1"/>
        <rFont val="Calibri"/>
        <family val="2"/>
        <scheme val="minor"/>
      </rPr>
      <t>Objective Risks</t>
    </r>
    <r>
      <rPr>
        <sz val="10"/>
        <color theme="1"/>
        <rFont val="Calibri"/>
        <family val="2"/>
        <scheme val="minor"/>
      </rPr>
      <t xml:space="preserve">, and include mitigation plans (where relevant). Identify any residual risk and identify a buffer size.
10. Transfer the resource needs from your release plan onto the </t>
    </r>
    <r>
      <rPr>
        <i/>
        <sz val="10"/>
        <color theme="1"/>
        <rFont val="Calibri"/>
        <family val="2"/>
        <scheme val="minor"/>
      </rPr>
      <t>Staffing Plan</t>
    </r>
    <r>
      <rPr>
        <sz val="10"/>
        <color theme="1"/>
        <rFont val="Calibri"/>
        <family val="2"/>
        <scheme val="minor"/>
      </rPr>
      <t xml:space="preserve"> tab.
11. Use the </t>
    </r>
    <r>
      <rPr>
        <i/>
        <sz val="10"/>
        <color theme="1"/>
        <rFont val="Calibri"/>
        <family val="2"/>
        <scheme val="minor"/>
      </rPr>
      <t>Track LOE Summary</t>
    </r>
    <r>
      <rPr>
        <sz val="10"/>
        <color theme="1"/>
        <rFont val="Calibri"/>
        <family val="2"/>
        <scheme val="minor"/>
      </rPr>
      <t xml:space="preserve"> tab to validate your breakdown by track
12. Use the </t>
    </r>
    <r>
      <rPr>
        <i/>
        <sz val="10"/>
        <color theme="1"/>
        <rFont val="Calibri"/>
        <family val="2"/>
        <scheme val="minor"/>
      </rPr>
      <t>Total LOE</t>
    </r>
    <r>
      <rPr>
        <sz val="10"/>
        <color theme="1"/>
        <rFont val="Calibri"/>
        <family val="2"/>
        <scheme val="minor"/>
      </rPr>
      <t xml:space="preserve"> tab to understand your overall project estimate.</t>
    </r>
  </si>
  <si>
    <t>Tips</t>
  </si>
  <si>
    <t>• Have only one version of the estimation template open.  If multiple versions are open, some macros will not work properly.
• Do not insert or delete columns and do not change column headers specifically on the Stories and Staffing Plan tabs, as it will result in problems with exports to the ResultSpace Plan Tool and the Deal Tool.
• Ensure that the Multiplier values are whole numbers, as this is used as a story multiplier when exporting to the ResultSpace Plan tool.
• Ensure that the ABP and HP values are between 0.5 and 100 and are in increments of 0.25.
• To insert new rows in the Stories tab, do not use the standard insert row feature, use the custom "Insert Line with Formulas" option provided under the "SA function" menu. 
• Use the scratch columns in the Stories tab for sub-totals or any other calculations you need.
• Use the Notes field to document any assumptions you made when estimating a story.
• Make sure the Start Date of the project is a Monday, and the end date of the project is a Friday on the Staffing tab to ensure that correct information is exported.
• If you need to extend the timeline in the staffing tab, do not use the standard excel Insert Column feature, use the "Insert Week" button.
• If a person is playing both an oversight role as well as working on actual stories, the role should appear once with the approproiate allocation in the Overhead area and again in the Team area with the appropriate allocation.</t>
  </si>
  <si>
    <t>System requirements</t>
  </si>
  <si>
    <t>• Macros must be enabled for this template to work correctly.
• You will be prompted to install the Analysis Toolpack if it is not already installed. This is required for the template to work correctly. Refer to instructions below for more information.
• Supported versions include Excel 2000,  2003, 2007 and 2010 for Windows and Excel 2011 for Mac.
• This worksheet will not work with Excel 97 for Windows or Excel 98 for Mac</t>
  </si>
  <si>
    <t>Known problems</t>
  </si>
  <si>
    <t>1. The tool has not been tested on different locales (i.e. UK, Germany, India), which may cause some date format issues. For example for German users ensure that your PC is configured to use (.) as the decimal symbol and not (,).
2. There might be small cosmetic issues, please report them on the Vox group: 'Estimation Tool Ongoing Releases'</t>
  </si>
  <si>
    <t>Project Overview</t>
  </si>
  <si>
    <t xml:space="preserve">Complete this sheet to identify basic data used to populate other sheets and headers. </t>
  </si>
  <si>
    <t>Client / Project Name</t>
  </si>
  <si>
    <t>PID</t>
  </si>
  <si>
    <t>S|A Phase</t>
  </si>
  <si>
    <t>Ongoing Releases</t>
  </si>
  <si>
    <t>Scope Matrix Filename</t>
  </si>
  <si>
    <t>Delivery/Non-Delivery</t>
  </si>
  <si>
    <t>Non-Delivery</t>
  </si>
  <si>
    <t>Enter any tracks you will have on your project here:</t>
  </si>
  <si>
    <t>Tracks</t>
  </si>
  <si>
    <t>None</t>
  </si>
  <si>
    <t>Requirements</t>
  </si>
  <si>
    <t>CMS Dev</t>
  </si>
  <si>
    <t>Site Dev</t>
  </si>
  <si>
    <t>QA</t>
  </si>
  <si>
    <t>Infra</t>
  </si>
  <si>
    <t>Architecture</t>
  </si>
  <si>
    <t>Performance</t>
  </si>
  <si>
    <t>Integration</t>
  </si>
  <si>
    <t>ISST</t>
  </si>
  <si>
    <t>Content</t>
  </si>
  <si>
    <t>Technical</t>
  </si>
  <si>
    <t>Security</t>
  </si>
  <si>
    <t>Content Strategist</t>
  </si>
  <si>
    <t>IA</t>
  </si>
  <si>
    <t>Designer</t>
  </si>
  <si>
    <t>Accessibility</t>
  </si>
  <si>
    <t>Automation</t>
  </si>
  <si>
    <t>SME</t>
  </si>
  <si>
    <t>Tasks (Metrics)</t>
  </si>
  <si>
    <t>Use this sheet as a worksheet to document metrics with assumptions and their tasks with LOE. Based on your situation, you may find it easier to either create these metrics first, or to first begin to document your stories, then create metrics. In any case, by the end of the process, you should have documented all the
metrics you are using in this tab.
All LOE is measured in person days (1 person day = 8 hours of project work (including meetings, etc.).</t>
  </si>
  <si>
    <t>Story Type</t>
  </si>
  <si>
    <t>ABP</t>
  </si>
  <si>
    <t>HP</t>
  </si>
  <si>
    <t>Assumptions</t>
  </si>
  <si>
    <t>Tasks</t>
  </si>
  <si>
    <t>&lt;Capture any bounding assumptions that affect the meaning or applicability of this metric&gt;</t>
  </si>
  <si>
    <t>Step</t>
  </si>
  <si>
    <t xml:space="preserve">Design and Implement Event Listeners </t>
  </si>
  <si>
    <t>Code review &amp; Incorporate review comment</t>
  </si>
  <si>
    <t>Document design and implementation</t>
  </si>
  <si>
    <t>Check code and document to repository</t>
  </si>
  <si>
    <t>Design and Implement  Workflow : Simple</t>
  </si>
  <si>
    <t>Understand workflow requirements</t>
  </si>
  <si>
    <t>Define workflow elements and activities</t>
  </si>
  <si>
    <t>Review Workdlow design</t>
  </si>
  <si>
    <t>Unit test workflows</t>
  </si>
  <si>
    <t xml:space="preserve">Design and Implement  Workflow : Medium </t>
  </si>
  <si>
    <t>Check in code &amp; document to repository</t>
  </si>
  <si>
    <t xml:space="preserve">Design and Implement  Workflow : Complex </t>
  </si>
  <si>
    <t>Implement process classes for activities</t>
  </si>
  <si>
    <t>Define User/Group setup and Acces control for CMS</t>
  </si>
  <si>
    <t xml:space="preserve">Unit test </t>
  </si>
  <si>
    <t>Dcoument design and implementation</t>
  </si>
  <si>
    <t>Template Implementation - Low</t>
  </si>
  <si>
    <t>Export and Check in Template to Repository</t>
  </si>
  <si>
    <t>Template Implementation - Medium</t>
  </si>
  <si>
    <t>Intgrate HTML</t>
  </si>
  <si>
    <t>Implement personalization details</t>
  </si>
  <si>
    <t>Template Implementation - Complex</t>
  </si>
  <si>
    <t>Component Design - Simple</t>
  </si>
  <si>
    <t>Simple OOTB components or customized components with simple one tab dialogue with no customized widgets</t>
  </si>
  <si>
    <t>Understand Data attributes in Design</t>
  </si>
  <si>
    <t>Component Design - Medium</t>
  </si>
  <si>
    <t>Component Design - High</t>
  </si>
  <si>
    <t>Component Implementation - Low</t>
  </si>
  <si>
    <t>Understand Tech Design</t>
  </si>
  <si>
    <t>Understand Content Attribues</t>
  </si>
  <si>
    <t>Create Dialogue  using CRXDE</t>
  </si>
  <si>
    <t>Create component jsp i.e script</t>
  </si>
  <si>
    <t>configure component properties</t>
  </si>
  <si>
    <t xml:space="preserve">Code Review </t>
  </si>
  <si>
    <t>Incorporate Code review comments</t>
  </si>
  <si>
    <t>Check in Code &amp; Document to repository</t>
  </si>
  <si>
    <t>Unit Test performance</t>
  </si>
  <si>
    <t>Component Implementation - Medium</t>
  </si>
  <si>
    <t>Understand tech design</t>
  </si>
  <si>
    <t>Create multi tab Dialogue  using CRXDE</t>
  </si>
  <si>
    <t>Create component jsp i.e script including helper bundles</t>
  </si>
  <si>
    <t>Define component properties</t>
  </si>
  <si>
    <t>Component Implementation - Complex</t>
  </si>
  <si>
    <t>Create multi tab Dialogue  using CRXDE including new widget</t>
  </si>
  <si>
    <t xml:space="preserve">Develop component jsp i.e script including any Ajax or REST calls </t>
  </si>
  <si>
    <t>Develop helper classes/bundles</t>
  </si>
  <si>
    <t>OSGi Bundles - Low</t>
  </si>
  <si>
    <t>Understand requirements</t>
  </si>
  <si>
    <t>Document component low level design including package structure , functions , signatures , third party dependencies etc</t>
  </si>
  <si>
    <t>Design Review &amp; Update documentation</t>
  </si>
  <si>
    <t>Understand  Attribues</t>
  </si>
  <si>
    <t>Development</t>
  </si>
  <si>
    <t>OSGi Bundles- Medium</t>
  </si>
  <si>
    <t>OSGi Bundles - High</t>
  </si>
  <si>
    <t>Environment Setup - DEV : Sapient</t>
  </si>
  <si>
    <t>Buid and Deployment - Sapient</t>
  </si>
  <si>
    <t>Metrics</t>
  </si>
  <si>
    <t>A metric is a reusable estimate of a buildable unit. This sheet documents all the metrics that can be used to drive the Stories estimate (it drives metric selection dropdowns on the Stories tab). Each item listed here should be defined more fully on the Tasks (Metrics) tab (either taken from another sheet, or created by you).</t>
  </si>
  <si>
    <t>dsgfk lkj dsf</t>
  </si>
  <si>
    <t>Stories</t>
  </si>
  <si>
    <r>
      <t xml:space="preserve">Decompose each solution requirement into one or more stories. Embed knowledge risk by providing a range bounded by the ABP and HP estimates. Include all work necessary to advance the project, such as reviews, testing,  etc.  All LOE that does not contribute to the advancement of the project should be placed on the Add-ins tab.
</t>
    </r>
    <r>
      <rPr>
        <b/>
        <sz val="10"/>
        <color theme="1"/>
        <rFont val="Calibri"/>
        <family val="2"/>
        <scheme val="minor"/>
      </rPr>
      <t>A story should be:</t>
    </r>
    <r>
      <rPr>
        <sz val="10"/>
        <color theme="1"/>
        <rFont val="Calibri"/>
        <family val="2"/>
        <scheme val="minor"/>
      </rPr>
      <t xml:space="preserve">
* Understandable
* Testable
* Valuable
* Small enough to complete a handful each iteration</t>
    </r>
  </si>
  <si>
    <t>Total LOE in Days</t>
  </si>
  <si>
    <t>Buffered</t>
  </si>
  <si>
    <t>All LOE is measured in person days (1 person day = 8 hours of project work (including meetings, etc.).</t>
  </si>
  <si>
    <t>!</t>
  </si>
  <si>
    <t>Category</t>
  </si>
  <si>
    <t>Track</t>
  </si>
  <si>
    <t>Story Name</t>
  </si>
  <si>
    <t>Phase (EAR/ Implementation</t>
  </si>
  <si>
    <t>Description</t>
  </si>
  <si>
    <t>Scope Reference</t>
  </si>
  <si>
    <t>In/Out</t>
  </si>
  <si>
    <t>Multiplier</t>
  </si>
  <si>
    <t>LOE in Days Calculated</t>
  </si>
  <si>
    <t>Notes</t>
  </si>
  <si>
    <t>Required</t>
  </si>
  <si>
    <t>Optional</t>
  </si>
  <si>
    <t>Optional - If blank story name will be used</t>
  </si>
  <si>
    <t>Recommended</t>
  </si>
  <si>
    <t xml:space="preserve"> </t>
  </si>
  <si>
    <t>Dummy</t>
  </si>
  <si>
    <t>Design</t>
  </si>
  <si>
    <t>In</t>
  </si>
  <si>
    <t>Design Documentation</t>
  </si>
  <si>
    <t>Logical Architecture</t>
  </si>
  <si>
    <t>EAR</t>
  </si>
  <si>
    <t>Covered during design phase</t>
  </si>
  <si>
    <t>Out</t>
  </si>
  <si>
    <t>Physical Architecture</t>
  </si>
  <si>
    <t>SAD</t>
  </si>
  <si>
    <t>Closure, reviews and expanding with D2 level details</t>
  </si>
  <si>
    <t>To be covered as oversight information</t>
  </si>
  <si>
    <t>social media sharing</t>
  </si>
  <si>
    <t>Effort for tracking integration with twitter, linkedin using apis available from vendors</t>
  </si>
  <si>
    <t>Usage of addthis for the sharing of content on social media sites</t>
  </si>
  <si>
    <t>site behavior if external systems are unavailable</t>
  </si>
  <si>
    <t>Definign strategy to host stacic pages not served by CMS</t>
  </si>
  <si>
    <t>Build &amp; deploy process</t>
  </si>
  <si>
    <t>RSS Feeds</t>
  </si>
  <si>
    <t>Implementation</t>
  </si>
  <si>
    <t>Not in scope for feeds</t>
  </si>
  <si>
    <t>WORM Compliance</t>
  </si>
  <si>
    <t>Newsletter</t>
  </si>
  <si>
    <t>2.5.8</t>
  </si>
  <si>
    <t>Reusing\extending the OOTB functionality</t>
  </si>
  <si>
    <t>Mobile stylesheets &amp; device detection</t>
  </si>
  <si>
    <t>Not part of scope for release 1</t>
  </si>
  <si>
    <t>Search requirements</t>
  </si>
  <si>
    <t>Clarifying on boosting requirements and parameters</t>
  </si>
  <si>
    <t>Taxonomy and Metadata Definition</t>
  </si>
  <si>
    <t>Define the taxonomy and metadata requirements for the system.</t>
  </si>
  <si>
    <t>Define content model</t>
  </si>
  <si>
    <t>NFRs</t>
  </si>
  <si>
    <t>Detailing out the non functional requirements</t>
  </si>
  <si>
    <t>All NFRs will be available as a part of the SAD dpocument, except for performance and Security testing strategy</t>
  </si>
  <si>
    <t>Perfomance Test Strategy</t>
  </si>
  <si>
    <t>Definign the scope of performance testing approch</t>
  </si>
  <si>
    <t>Security Test Strategy</t>
  </si>
  <si>
    <t>Defining the scope of security testing approch</t>
  </si>
  <si>
    <t>QA-Test Strategy Document Creation and Planning</t>
  </si>
  <si>
    <t>Includes approach for regression automation testign strategy</t>
  </si>
  <si>
    <t>This will also be done by QA Mgr at oversite role</t>
  </si>
  <si>
    <t>Migration</t>
  </si>
  <si>
    <t>Define the Content Migration Strategy</t>
  </si>
  <si>
    <t>defining how the content can be migrated from current system to the new system</t>
  </si>
  <si>
    <t>Data migration</t>
  </si>
  <si>
    <t>User data</t>
  </si>
  <si>
    <t>User preferences data</t>
  </si>
  <si>
    <t>User data migration from Salesforce</t>
  </si>
  <si>
    <t>Migration of data from SMART Database</t>
  </si>
  <si>
    <t>Document Ingestion (from Synthesis to CMS)</t>
  </si>
  <si>
    <t>POC</t>
  </si>
  <si>
    <t>POC to evaluate the Personalization Framework</t>
  </si>
  <si>
    <t>The personalization framework will define a consistent way of how the different views can be created for different types of users</t>
  </si>
  <si>
    <t>Site Catalyst integraton</t>
  </si>
  <si>
    <t>POC to identify the coverage provided and account for additional requirements\enhancements to the core APIs</t>
  </si>
  <si>
    <t>LDAP</t>
  </si>
  <si>
    <t>POC to identify approach for integration with LDAP</t>
  </si>
  <si>
    <t>POC for integration with Document Fulfillment system</t>
  </si>
  <si>
    <t>POC to identify approach for integration with fulfillment system</t>
  </si>
  <si>
    <t>POC to create the Email Templating</t>
  </si>
  <si>
    <t>Define the approach and skepleton for templating</t>
  </si>
  <si>
    <t>The OOTB email templating available from Adobe CQ will be used</t>
  </si>
  <si>
    <t>POC to generate graph from the data residing in CMS system</t>
  </si>
  <si>
    <t>Technical Design</t>
  </si>
  <si>
    <t xml:space="preserve">Framework Components - Design
</t>
  </si>
  <si>
    <t xml:space="preserve">Logging/Exception Handling </t>
  </si>
  <si>
    <t>Defining the strategy for logging and exception handling, expecting reuse from existing projects</t>
  </si>
  <si>
    <t>Caching</t>
  </si>
  <si>
    <t>Defining the strategy for CDN + Dispatcher caching</t>
  </si>
  <si>
    <t>Caching invalidation procedure at CDN</t>
  </si>
  <si>
    <t>Configuration Management</t>
  </si>
  <si>
    <t>Effort for scoping the exact details</t>
  </si>
  <si>
    <t>Reporting, Alerts &amp; Notification</t>
  </si>
  <si>
    <t>Component responsible for compiling and sending mails</t>
  </si>
  <si>
    <t>Session Management</t>
  </si>
  <si>
    <t>Authorization</t>
  </si>
  <si>
    <t>Authorization, authentication, encryption - cookie, cookie handling, security interceptor</t>
  </si>
  <si>
    <t>1.4.10</t>
  </si>
  <si>
    <t>Monitoring</t>
  </si>
  <si>
    <t>check for available tools from Navisite and CQ5 tools</t>
  </si>
  <si>
    <t>Auditing and Compliance</t>
  </si>
  <si>
    <t>Versioning</t>
  </si>
  <si>
    <t>Designing the Framework to define how the versioning requirements can be catered to</t>
  </si>
  <si>
    <t>Backup and Recovery</t>
  </si>
  <si>
    <t>Designing the details around the backup and restore strategy</t>
  </si>
  <si>
    <t>Email Templating</t>
  </si>
  <si>
    <t>Designing the details around the strategy to define various templates</t>
  </si>
  <si>
    <t>SEO Requirements</t>
  </si>
  <si>
    <t>Designing the details around the strategy to create and send newsletters</t>
  </si>
  <si>
    <t>Legacy and Vanity URL Support</t>
  </si>
  <si>
    <t>Definign how the old urls will be supported</t>
  </si>
  <si>
    <t>DAM</t>
  </si>
  <si>
    <t>Will be covered as a part of content matrix</t>
  </si>
  <si>
    <t>PDF generator</t>
  </si>
  <si>
    <t>Evaluate a PDf generaqtion tool to accommodate to the requirements</t>
  </si>
  <si>
    <t>we will use free tools for generating PDFs</t>
  </si>
  <si>
    <t>PDF form creation</t>
  </si>
  <si>
    <t>Evaluate a PDf generation tool to accommodate to the requirements</t>
  </si>
  <si>
    <t>SAML/Genesis Component</t>
  </si>
  <si>
    <t>Required for integration with Salesforce</t>
  </si>
  <si>
    <t>Digester framework for incorporating any new schema</t>
  </si>
  <si>
    <t>File Handler to process the required files from different sources</t>
  </si>
  <si>
    <t>Wrapper over the database integrations</t>
  </si>
  <si>
    <t>JPA Integrations</t>
  </si>
  <si>
    <t>Detailing out the technical design for SEO reqiurements</t>
  </si>
  <si>
    <t>Design Personalization Framework</t>
  </si>
  <si>
    <t>cms workflows</t>
  </si>
  <si>
    <t>Definign the workflows that are requried to be created as a part od the system</t>
  </si>
  <si>
    <t>Daily feeds from Synthesis</t>
  </si>
  <si>
    <t>Monthly and Quaterly feeds from Synthesis</t>
  </si>
  <si>
    <t>Dialy fund list from Morning Star</t>
  </si>
  <si>
    <t>Replication of newly created documents to DST</t>
  </si>
  <si>
    <t>Assumign FTP solution</t>
  </si>
  <si>
    <t>Digestion data from Financial Advisor Database</t>
  </si>
  <si>
    <t>Ingestion of documents from Broadridge</t>
  </si>
  <si>
    <t>Salesforce - integration of user intreractions data back and forth</t>
  </si>
  <si>
    <t>incoming for user data, for personalization, outgoing for user interaction history to Salesforce</t>
  </si>
  <si>
    <t>Salesforce - integration of CRM based leads data back and forth</t>
  </si>
  <si>
    <t>Integration with Document fullfillment system</t>
  </si>
  <si>
    <t>getting the user interaction history from site catalyst</t>
  </si>
  <si>
    <t>DAM workflow for Assett processing</t>
  </si>
  <si>
    <t>Jobs for sending across the mails\data based on business rules</t>
  </si>
  <si>
    <t>Workflow of managing video assets</t>
  </si>
  <si>
    <t>Ad Review Process - Tech Design</t>
  </si>
  <si>
    <t>Integration points</t>
  </si>
  <si>
    <t xml:space="preserve">Synthesis Integration </t>
  </si>
  <si>
    <t>Low level design of integration, including method level definition of interfaces and services</t>
  </si>
  <si>
    <t>DST Integraton</t>
  </si>
  <si>
    <t>Salesforce</t>
  </si>
  <si>
    <t>Morningstar</t>
  </si>
  <si>
    <t>Low level design of integration, including method level definition of interfaces and services - REST API, iframe, and SSO integration</t>
  </si>
  <si>
    <t>Broadridge</t>
  </si>
  <si>
    <t>SSO</t>
  </si>
  <si>
    <t>The integration with SSO is out of scope considering the removl of DST</t>
  </si>
  <si>
    <t>Document Fullfillment system</t>
  </si>
  <si>
    <t>SMART Database</t>
  </si>
  <si>
    <t>Scene 7</t>
  </si>
  <si>
    <t>SourceOne</t>
  </si>
  <si>
    <t>Financial Advisor Database</t>
  </si>
  <si>
    <t>Replacement for Prime</t>
  </si>
  <si>
    <t>HIFP Database</t>
  </si>
  <si>
    <t>One time migration of data</t>
  </si>
  <si>
    <t>Duplicate and hence out</t>
  </si>
  <si>
    <t>Custom Database</t>
  </si>
  <si>
    <t>Technical Design - Batch C and Batch D</t>
  </si>
  <si>
    <t>Cart confirmation</t>
  </si>
  <si>
    <t>Cart delivery</t>
  </si>
  <si>
    <t>Cart details</t>
  </si>
  <si>
    <t>Fund List</t>
  </si>
  <si>
    <t>Search Filters</t>
  </si>
  <si>
    <t>Login</t>
  </si>
  <si>
    <t>Registration</t>
  </si>
  <si>
    <t>1.4.8</t>
  </si>
  <si>
    <t>Manage profile</t>
  </si>
  <si>
    <t>Manage subscriptions - Mail</t>
  </si>
  <si>
    <t>Manage subscriptions - Postal</t>
  </si>
  <si>
    <t>Email communications</t>
  </si>
  <si>
    <t>Sales Tools &amp; Illustrations</t>
  </si>
  <si>
    <t>1.5.2</t>
  </si>
  <si>
    <t>Calculators</t>
  </si>
  <si>
    <t>only for showing the list of calculators</t>
  </si>
  <si>
    <t>Press releases</t>
  </si>
  <si>
    <t>1.1.11.1</t>
  </si>
  <si>
    <t>FAQs</t>
  </si>
  <si>
    <t>1.1.11.2</t>
  </si>
  <si>
    <t>Careers</t>
  </si>
  <si>
    <t>1.1.11.4</t>
  </si>
  <si>
    <t>Order History</t>
  </si>
  <si>
    <t>Design variations of Fund details page</t>
  </si>
  <si>
    <t>what is the additional template and components for?</t>
  </si>
  <si>
    <t>Additional Templates</t>
  </si>
  <si>
    <t>Considering 5 additional templates</t>
  </si>
  <si>
    <t>Additional Components</t>
  </si>
  <si>
    <t>considering 7 additional componentswithoutpersonalization</t>
  </si>
  <si>
    <t>considering 8 additional with personalization</t>
  </si>
  <si>
    <t>Sitemap</t>
  </si>
  <si>
    <t>Site Help</t>
  </si>
  <si>
    <t>Static hep content to be displayed</t>
  </si>
  <si>
    <t>Dev - CMS</t>
  </si>
  <si>
    <t>Create the code structure</t>
  </si>
  <si>
    <t>Creation of required projects and configurations</t>
  </si>
  <si>
    <t xml:space="preserve">Framework Components - Implementation
</t>
  </si>
  <si>
    <t>Reuse of framework components from SDG</t>
  </si>
  <si>
    <t>Reporting &amp; Notification and Alerts</t>
  </si>
  <si>
    <t>Implementing the framework for any reporting or notification that need to be don’e by the system. This will be extension of OOTB functionalities to cater to the needs</t>
  </si>
  <si>
    <t>Implmenting the framework for creating and managing user sessions, cookies etc.</t>
  </si>
  <si>
    <t>Implementation of security related items such as XSS protection, cookie protection etc., extenstion of framewrok</t>
  </si>
  <si>
    <t>Creation of monitoring script for application healthcheck</t>
  </si>
  <si>
    <t>This should be OOS</t>
  </si>
  <si>
    <t>Implementation of the SEO reqiurements</t>
  </si>
  <si>
    <t>Build and Release processes and scripts</t>
  </si>
  <si>
    <t>Reuse of scripts from SDG</t>
  </si>
  <si>
    <t>Development Machine setups</t>
  </si>
  <si>
    <t>M/C upgrades because of RAM upgrades</t>
  </si>
  <si>
    <t>Dev/CI server setup</t>
  </si>
  <si>
    <t>Creation of environment including scripts to auto uild and deploy</t>
  </si>
  <si>
    <t>already done in design</t>
  </si>
  <si>
    <t>QA Server Setup</t>
  </si>
  <si>
    <t>Creation of environment including scripts to auto build and deploy</t>
  </si>
  <si>
    <t>W</t>
  </si>
  <si>
    <t>Implement User permissions</t>
  </si>
  <si>
    <t>Define roles and registration types</t>
  </si>
  <si>
    <t>1.4.1, 1.4.2, 1.4.4</t>
  </si>
  <si>
    <t>Implement ACL settings for DAM assets</t>
  </si>
  <si>
    <t>Implement Personalization Framework</t>
  </si>
  <si>
    <t>The personalization framework will define a onsistent way of how the different views can be created for different types of users</t>
  </si>
  <si>
    <t>Implementing Framework to define how the versioning requirements can be catered to</t>
  </si>
  <si>
    <t>Legacy and Vanit Url support</t>
  </si>
  <si>
    <t>Implementing Framework to define how the legacy and vanity urls will be supported</t>
  </si>
  <si>
    <t>Implementing the backup and restore strategy</t>
  </si>
  <si>
    <t>Implement Standard content search</t>
  </si>
  <si>
    <t>Includes definition of indexed content, search boosting and other configurations</t>
  </si>
  <si>
    <t>1.2.1</t>
  </si>
  <si>
    <t>Implement Fund related search</t>
  </si>
  <si>
    <t>Implement Filtering of search results</t>
  </si>
  <si>
    <t>1.2.2</t>
  </si>
  <si>
    <t>Implement Sort options</t>
  </si>
  <si>
    <t>Implement Pagination Framework</t>
  </si>
  <si>
    <t>Implement Finding Content Based on Faceted Search (e.g., Rating)</t>
  </si>
  <si>
    <t>1.2.3</t>
  </si>
  <si>
    <t>Implement Predictive search (based on taxonomy of terms)</t>
  </si>
  <si>
    <t>1.2.4</t>
  </si>
  <si>
    <t>Implement Context- or Needs-based search</t>
  </si>
  <si>
    <t>1.2.5</t>
  </si>
  <si>
    <t>Implement SEO requirements as part of basic framework</t>
  </si>
  <si>
    <t>Analytics Configuration and Integration</t>
  </si>
  <si>
    <t>Site Catalyst will be used for analytics</t>
  </si>
  <si>
    <t>Confidure site catalyst for reports</t>
  </si>
  <si>
    <t>Assumign 15 reports to be configured</t>
  </si>
  <si>
    <t>Create basic site/content structure</t>
  </si>
  <si>
    <t>Create basic DAM structure</t>
  </si>
  <si>
    <t>Need to take care of the permissions and rules</t>
  </si>
  <si>
    <t>Extension of DAM for additional metadata</t>
  </si>
  <si>
    <t>Implement taxonomy structure and metedata details</t>
  </si>
  <si>
    <t>CMS Workflows</t>
  </si>
  <si>
    <t>Creation of publishing workflows</t>
  </si>
  <si>
    <t>Assuming 5 workflows to be created</t>
  </si>
  <si>
    <t>Cnsidering 8 xmls to be considered</t>
  </si>
  <si>
    <t>Additional buffer for unknown complexity</t>
  </si>
  <si>
    <t>DAM workflow for Asset processing</t>
  </si>
  <si>
    <t>Ad Review Process</t>
  </si>
  <si>
    <t>Overall flow creation</t>
  </si>
  <si>
    <t>Additional Complexity with flows</t>
  </si>
  <si>
    <t>Creation of Users and permissions (expecting 3-5 groups to be created)</t>
  </si>
  <si>
    <t>Workflow steps creation (expecting 3-5 custom steps\scripts to be created)</t>
  </si>
  <si>
    <t>Workflow console (to be able to display status)-</t>
  </si>
  <si>
    <t>Export into excel</t>
  </si>
  <si>
    <t>Test Script creation and execution</t>
  </si>
  <si>
    <t>Templates</t>
  </si>
  <si>
    <t>Base Template</t>
  </si>
  <si>
    <t>1-col</t>
  </si>
  <si>
    <t>2-col with navigation</t>
  </si>
  <si>
    <t>Article Page - 2-col with navigation</t>
  </si>
  <si>
    <t>Frame</t>
  </si>
  <si>
    <t>Overlay Template</t>
  </si>
  <si>
    <t>Fund Details - Base</t>
  </si>
  <si>
    <t>Fund Details - Variations</t>
  </si>
  <si>
    <t>Print</t>
  </si>
  <si>
    <t>LandingPage</t>
  </si>
  <si>
    <t>Insights Template</t>
  </si>
  <si>
    <t>History Template</t>
  </si>
  <si>
    <t>Carousal Template</t>
  </si>
  <si>
    <t>UserProfile Template</t>
  </si>
  <si>
    <t>Components</t>
  </si>
  <si>
    <t>Age-based Portfolios</t>
  </si>
  <si>
    <t>Average Annual Total Returns</t>
  </si>
  <si>
    <t>Banner</t>
  </si>
  <si>
    <t>Calendar Year Returns</t>
  </si>
  <si>
    <t>Carousal</t>
  </si>
  <si>
    <t>Col Control</t>
  </si>
  <si>
    <t>Compare Panel</t>
  </si>
  <si>
    <t>Compare Results</t>
  </si>
  <si>
    <t>Daily Prices</t>
  </si>
  <si>
    <t>Footer</t>
  </si>
  <si>
    <t>Form</t>
  </si>
  <si>
    <t>Fund Basics</t>
  </si>
  <si>
    <t>Fund Information Pane</t>
  </si>
  <si>
    <t>Fund Navigation Pane</t>
  </si>
  <si>
    <t>Funds List</t>
  </si>
  <si>
    <t>Duplicate of Fund List</t>
  </si>
  <si>
    <t>Funds Module</t>
  </si>
  <si>
    <t>Funds Navigation Tabs</t>
  </si>
  <si>
    <t>Growth of $10,000</t>
  </si>
  <si>
    <t>Highlights</t>
  </si>
  <si>
    <t>Holdings Characteristics</t>
  </si>
  <si>
    <t>Individual Fund Options</t>
  </si>
  <si>
    <t xml:space="preserve">Insights </t>
  </si>
  <si>
    <t>Insights &amp; Research</t>
  </si>
  <si>
    <t>Literature List</t>
  </si>
  <si>
    <t>Logo</t>
  </si>
  <si>
    <t>Market Cap Distribution</t>
  </si>
  <si>
    <t>Phone</t>
  </si>
  <si>
    <t>PlanOverview</t>
  </si>
  <si>
    <t>Portfolio Management</t>
  </si>
  <si>
    <t>Press &amp; News</t>
  </si>
  <si>
    <t>Print and Share</t>
  </si>
  <si>
    <t>Sales Tools</t>
  </si>
  <si>
    <t>Search</t>
  </si>
  <si>
    <t>Search Results</t>
  </si>
  <si>
    <t>Sector Exposure</t>
  </si>
  <si>
    <t>Segmentation</t>
  </si>
  <si>
    <t>Selection Box</t>
  </si>
  <si>
    <t>Seminar</t>
  </si>
  <si>
    <t>Spotlight</t>
  </si>
  <si>
    <t>Static Portfolios</t>
  </si>
  <si>
    <t>Strategic Spotlight</t>
  </si>
  <si>
    <t>TabComponent</t>
  </si>
  <si>
    <t>Text</t>
  </si>
  <si>
    <t>Text and links</t>
  </si>
  <si>
    <t>Duplicate of title and text</t>
  </si>
  <si>
    <t>Tiles</t>
  </si>
  <si>
    <t>Timeline</t>
  </si>
  <si>
    <t>Title and Text</t>
  </si>
  <si>
    <t>title and text + Links</t>
  </si>
  <si>
    <t>Title with Jump Section</t>
  </si>
  <si>
    <t>Top Navigation</t>
  </si>
  <si>
    <t>Top Ten Holdings</t>
  </si>
  <si>
    <t>UserProfile</t>
  </si>
  <si>
    <t>Utility Footer</t>
  </si>
  <si>
    <t>Utility Navigation</t>
  </si>
  <si>
    <t>Register</t>
  </si>
  <si>
    <t>Register Comfirmation</t>
  </si>
  <si>
    <t>Glossary</t>
  </si>
  <si>
    <t>Includes management of the glossary data</t>
  </si>
  <si>
    <t>1.5.4</t>
  </si>
  <si>
    <t>considering 8 additional componentswithoutpersonalization</t>
  </si>
  <si>
    <t>considering 15 additional with personalization</t>
  </si>
  <si>
    <t>Subscribe for Updates Page</t>
  </si>
  <si>
    <t>1.6.5</t>
  </si>
  <si>
    <t>View Approved Seminars</t>
  </si>
  <si>
    <t>1.7.2</t>
  </si>
  <si>
    <t>Order Seminar Materials</t>
  </si>
  <si>
    <t>1.7.3</t>
  </si>
  <si>
    <t>1.6.7</t>
  </si>
  <si>
    <t>1.6.6</t>
  </si>
  <si>
    <t>Mobilization</t>
  </si>
  <si>
    <t>Implement WURFL data structure</t>
  </si>
  <si>
    <t>The mobilization of the pages is not a part of the release for Feb 2013</t>
  </si>
  <si>
    <t>Detection of device while accessing the site</t>
  </si>
  <si>
    <t>Support Rendering of a separate view for mobile devices</t>
  </si>
  <si>
    <t>This needs to be done for all the templates and components which are to be shown differently for mobiles</t>
  </si>
  <si>
    <t>Missing how the mobile content will be different from web content</t>
  </si>
  <si>
    <t>Creation of required css and js structure to override web versions</t>
  </si>
  <si>
    <t>Dev - Site Dev</t>
  </si>
  <si>
    <t>Responsive design considerations</t>
  </si>
  <si>
    <t>Define W3C requirements to be used acros the components</t>
  </si>
  <si>
    <t>Site Dev Templates - Low</t>
  </si>
  <si>
    <t>Site Dev Templates - Medium</t>
  </si>
  <si>
    <t>Site Dev Templates - High</t>
  </si>
  <si>
    <t>Site Dev Components - Low</t>
  </si>
  <si>
    <t>HTML(L)+JS(L)</t>
  </si>
  <si>
    <t>Site Dev Components Medium</t>
  </si>
  <si>
    <t>HTML(M)+JS(M)</t>
  </si>
  <si>
    <t>Site Dev Components - High</t>
  </si>
  <si>
    <t>HTML(H)+JS(H)</t>
  </si>
  <si>
    <t>Fund Details</t>
  </si>
  <si>
    <t>CSS Framework</t>
  </si>
  <si>
    <t>CSS Reset, Grid systems, Global styles</t>
  </si>
  <si>
    <t>Java Script Framework</t>
  </si>
  <si>
    <t>jQuery, name space, configurations, global scripts, module initilizations, additional effort for jquery custom modules to be included</t>
  </si>
  <si>
    <t>Testing</t>
  </si>
  <si>
    <t>Creation of Test Scripts</t>
  </si>
  <si>
    <t>Assuming 50 functional test scripts to be created</t>
  </si>
  <si>
    <t>Iteration Testing and Bug Fixing</t>
  </si>
  <si>
    <t>Assumign 3 cycles of testing of 50 functional test scripts</t>
  </si>
  <si>
    <t>Iteration Bug Fixing</t>
  </si>
  <si>
    <t>Assumign 3 cycles of testing</t>
  </si>
  <si>
    <t>Iteration Testing - cross browser and Mobile devices testing</t>
  </si>
  <si>
    <t>Assumign 2 cycles of testing of 25 functional test scripts</t>
  </si>
  <si>
    <t>Bug fixing - cross browser and Mobile devices testing</t>
  </si>
  <si>
    <t>Test content creation</t>
  </si>
  <si>
    <t>Iteration bug fixing</t>
  </si>
  <si>
    <t>NFR Testing</t>
  </si>
  <si>
    <t>Performance Test case creation</t>
  </si>
  <si>
    <t>Creation of sample scenarios for perfoamnce testing</t>
  </si>
  <si>
    <t>Performance Test case execution</t>
  </si>
  <si>
    <t>Performance Optimization activities</t>
  </si>
  <si>
    <t>AccessibilityTest case creation</t>
  </si>
  <si>
    <t>AccessibilityTest case execution</t>
  </si>
  <si>
    <t>Security Test case execution</t>
  </si>
  <si>
    <t>Security fixing activities</t>
  </si>
  <si>
    <t>Dev - Integration</t>
  </si>
  <si>
    <t>Create service to download synthesis data and put in the crx repository</t>
  </si>
  <si>
    <t>Service to download the file from sftp</t>
  </si>
  <si>
    <t>Service to validate the file format againt a defined schema</t>
  </si>
  <si>
    <t>Service to interpret file and create the required nodes</t>
  </si>
  <si>
    <t>Generation of report for issues during import</t>
  </si>
  <si>
    <t>Create service to integrate SMART database with CQ5</t>
  </si>
  <si>
    <t>Create integration procedure with Scene 7 for Video management</t>
  </si>
  <si>
    <t>Only OOB integration with CMS</t>
  </si>
  <si>
    <t>Create service to provide the content from DAM to DST</t>
  </si>
  <si>
    <t>Create service to Integrate Salesforce methods</t>
  </si>
  <si>
    <t>Integration of user interactions and leads tracking</t>
  </si>
  <si>
    <t>Create service to integrate Morningstar data via REST API calls</t>
  </si>
  <si>
    <t>Create service to integrate Morningstar data via iframe</t>
  </si>
  <si>
    <t>Create service to integrate Morningstar data via SSO integration</t>
  </si>
  <si>
    <t>Create Service to integrate Broadridge data</t>
  </si>
  <si>
    <t>Integrate apis from Broadridge to integrate documents in the system</t>
  </si>
  <si>
    <t>Create Service to integrate LDAP data (User Profile)</t>
  </si>
  <si>
    <t>Integrate Authentication</t>
  </si>
  <si>
    <t>1.4.3</t>
  </si>
  <si>
    <t>Integrate Registration flow with LDAP</t>
  </si>
  <si>
    <t>Integrate Fetching and updating user profile data</t>
  </si>
  <si>
    <t>Integration with SSO for token verification</t>
  </si>
  <si>
    <t>Create Service to integrate SourceOne data</t>
  </si>
  <si>
    <t>Sending the emails to SourceOne for archiving</t>
  </si>
  <si>
    <t>Create Service to integrate Prime data</t>
  </si>
  <si>
    <t>Integrate with APIs to do fund advisor validation if the registered user is a FINRA user already</t>
  </si>
  <si>
    <t>Create service to integrate with HIFP Database</t>
  </si>
  <si>
    <t>Create service to integrate with Custom Database</t>
  </si>
  <si>
    <t>Order System (Shopping Cart &amp; Checkout) for logged in user</t>
  </si>
  <si>
    <t>Effort for integration of the shopping cart with the ordering system</t>
  </si>
  <si>
    <t>1.6.4</t>
  </si>
  <si>
    <t>Framework to interact with cart data</t>
  </si>
  <si>
    <t>1.6.4.1</t>
  </si>
  <si>
    <t>Add to Cart (Literature Ctr)</t>
  </si>
  <si>
    <t>cart data to be persisted in custom database</t>
  </si>
  <si>
    <t>View Shopping Cart Page</t>
  </si>
  <si>
    <t>1.6.4.2</t>
  </si>
  <si>
    <t>Edit Shopping Cart Contents</t>
  </si>
  <si>
    <t>1.6.4.3</t>
  </si>
  <si>
    <t>Order Review &amp; Shipping Page</t>
  </si>
  <si>
    <t>1.6.4.4</t>
  </si>
  <si>
    <t>Confirmation Page</t>
  </si>
  <si>
    <t>1.6.4.5</t>
  </si>
  <si>
    <t>Check Out Page</t>
  </si>
  <si>
    <t>1.6.4.6</t>
  </si>
  <si>
    <t>Empty Cart Page</t>
  </si>
  <si>
    <t>1.6.4.7</t>
  </si>
  <si>
    <t>Order System (Shopping Cart &amp; Checkout) for anonymous user</t>
  </si>
  <si>
    <t>Effort for integration of the shopping cart with the ordering system - cart data to be persisted in user session\cookie</t>
  </si>
  <si>
    <t>Testing of all integration points</t>
  </si>
  <si>
    <t>Fixing of all issues related to integration</t>
  </si>
  <si>
    <t>Create scripts to migrate\create user data if any</t>
  </si>
  <si>
    <t>Create scripts for Document Migration (from Synthesis to CMS)</t>
  </si>
  <si>
    <t>Document Migration</t>
  </si>
  <si>
    <t>Considering 130 pages to be migreated and each page takes 1-2 hrs.</t>
  </si>
  <si>
    <t>Content Migration</t>
  </si>
  <si>
    <t>Creation of pages with actual data for 130 pages</t>
  </si>
  <si>
    <t>Releases to integration environment</t>
  </si>
  <si>
    <t>Considering 1 release per week for x weeks</t>
  </si>
  <si>
    <t>Releases toQA environment</t>
  </si>
  <si>
    <t>Releases to Staging environment</t>
  </si>
  <si>
    <t>Releases to Production environment</t>
  </si>
  <si>
    <t>Content Entry Support</t>
  </si>
  <si>
    <t>System Testing</t>
  </si>
  <si>
    <t>System integration testing</t>
  </si>
  <si>
    <t>Considering effort of 3 person for 6 weeks</t>
  </si>
  <si>
    <t>System integration testing - fixes</t>
  </si>
  <si>
    <t>Considering effort of 6 person for 6 weeks</t>
  </si>
  <si>
    <t>System integration testing - fixes - Site Dev</t>
  </si>
  <si>
    <t>Considering effort of 1 person for 6 weeks</t>
  </si>
  <si>
    <t>UAT</t>
  </si>
  <si>
    <t>UAT fixes</t>
  </si>
  <si>
    <t>UAT fixes - Site Dev</t>
  </si>
  <si>
    <t>Warranty</t>
  </si>
  <si>
    <t>Warranty support</t>
  </si>
  <si>
    <t>Considering effort of 1 person for 12 weeks</t>
  </si>
  <si>
    <t>Warranty Sypport fixes</t>
  </si>
  <si>
    <t>Considering effort of 6.5 person for 8</t>
  </si>
  <si>
    <t>Warranty Support - Site Dev</t>
  </si>
  <si>
    <t>Considering effort of 4.5person after 8 weeks to 12th week</t>
  </si>
  <si>
    <t>Productionization Support + Cutover</t>
  </si>
  <si>
    <t>Training</t>
  </si>
  <si>
    <t>Create the training guide about the system for editors including guide for Scene7, sitecatalyst and CQ</t>
  </si>
  <si>
    <t>Deliver the trainging to editors</t>
  </si>
  <si>
    <t>will be done by oversight when the perso travels hence considered 0</t>
  </si>
  <si>
    <t>Blocker effort for content strategist</t>
  </si>
  <si>
    <t>Blocker effort for designer</t>
  </si>
  <si>
    <t>Blocker effort for IA</t>
  </si>
  <si>
    <t>Scimitar/QTP Setup (SW/HW)</t>
  </si>
  <si>
    <t>Setup Access for Client XYZ</t>
  </si>
  <si>
    <t>Setup XYZ Project</t>
  </si>
  <si>
    <t>Test Scenario Compilation</t>
  </si>
  <si>
    <t>Test Scenario Reviews (Client or BA)</t>
  </si>
  <si>
    <t>Setting Up Test Data</t>
  </si>
  <si>
    <t>Create Status Reports and Reporting Structure</t>
  </si>
  <si>
    <t>OR Creation</t>
  </si>
  <si>
    <t>Test Case Creation</t>
  </si>
  <si>
    <t>Test Case Review and Modification</t>
  </si>
  <si>
    <t>Network Setup</t>
  </si>
  <si>
    <t>Testing the Full Autotion Test Bed &amp; Adjustments</t>
  </si>
  <si>
    <t>Test Script Execution Reports</t>
  </si>
  <si>
    <t xml:space="preserve">Platform Design </t>
  </si>
  <si>
    <t>Platform Setup -SystemTest Environments</t>
  </si>
  <si>
    <t>Platform Setup - Production Environment</t>
  </si>
  <si>
    <t>Network Implementation</t>
  </si>
  <si>
    <t>Platform Setup - DR Site</t>
  </si>
  <si>
    <t>Runbook and Operational documentation creation</t>
  </si>
  <si>
    <t>Operating System Administration</t>
  </si>
  <si>
    <t>CMS and other COTS Administration</t>
  </si>
  <si>
    <t>Database Administration</t>
  </si>
  <si>
    <t>Incident Management</t>
  </si>
  <si>
    <t>Change &amp; Configuration Management</t>
  </si>
  <si>
    <t>Backup &amp; Restore Administration</t>
  </si>
  <si>
    <t>DR Administration</t>
  </si>
  <si>
    <t>System Monitoring</t>
  </si>
  <si>
    <t>SLA &amp; Performance Reporting</t>
  </si>
  <si>
    <t>Capacity Administration</t>
  </si>
  <si>
    <t>Release Management</t>
  </si>
  <si>
    <t>CDN Monitoring &amp; Administration</t>
  </si>
  <si>
    <t>Network Monitoring &amp; Administration</t>
  </si>
  <si>
    <t>Kick-Off/RetroSpective/Client Demo - EAR</t>
  </si>
  <si>
    <t>10 people 2 iterations</t>
  </si>
  <si>
    <t>Kick-Off/RetroSpective/Client Demo - Implementation</t>
  </si>
  <si>
    <t>Network Diagram</t>
  </si>
  <si>
    <t>WORM Compliance Design</t>
  </si>
  <si>
    <t>WORM Compliance Implementation &amp; Testing</t>
  </si>
  <si>
    <t>DST Vision Design</t>
  </si>
  <si>
    <t>DST Vision Implementation</t>
  </si>
  <si>
    <t>Edward Jones Design</t>
  </si>
  <si>
    <t>Edward Jones Integration Implementation</t>
  </si>
  <si>
    <t>Add-ins</t>
  </si>
  <si>
    <t>Use this sheet to document all sources of LOE that do not directly or indirectly advance the progress towards delivering the scope. With the exception of Canada, vacation and sick days are not built into our daily rates, and hence you should build them into your estimate. For a T&amp;M project, vacation and sickness are not counted.
The mid-level plan will likely drive the contents of this sheet, as many items are dependent on the team size.
Items such as brief daily team meetings, Sapient staff meetings, and email are included in the core workday and do not need to be called out here. Code reviews and other peer-to-peer activities should be embedded in the ABP/ HP for the relevant activities as they act to move the project forward.</t>
  </si>
  <si>
    <r>
      <t xml:space="preserve">Total Add-in LOE in days
</t>
    </r>
    <r>
      <rPr>
        <sz val="8"/>
        <color theme="1"/>
        <rFont val="Calibri"/>
        <family val="2"/>
        <scheme val="minor"/>
      </rPr>
      <t>Calculated</t>
    </r>
  </si>
  <si>
    <r>
      <t xml:space="preserve">Add-in Activities
</t>
    </r>
    <r>
      <rPr>
        <sz val="8"/>
        <color theme="1"/>
        <rFont val="Calibri"/>
        <family val="2"/>
        <scheme val="minor"/>
      </rPr>
      <t>Required</t>
    </r>
  </si>
  <si>
    <t>Team Size
Multiplier</t>
  </si>
  <si>
    <t>Description / Metrics</t>
  </si>
  <si>
    <r>
      <t xml:space="preserve">LOE
</t>
    </r>
    <r>
      <rPr>
        <sz val="8"/>
        <color theme="1"/>
        <rFont val="Calibri"/>
        <family val="2"/>
        <scheme val="minor"/>
      </rPr>
      <t>Required</t>
    </r>
  </si>
  <si>
    <t>Total LOE
Impact</t>
  </si>
  <si>
    <t>Vacation</t>
  </si>
  <si>
    <t>Use specific days when team is known, or 2.5 wks/year per person</t>
  </si>
  <si>
    <t>Template Row - do not delete</t>
  </si>
  <si>
    <t>Objective Risks</t>
  </si>
  <si>
    <t>Use this sheet to document ALL objective risks you have identified for this project. These are things that may happen and cause negative impact on the project. Capture details of all cases where you mitigate a risk by including mitigation LOE. When there is still a risk of impact despite mitigations, capture those here as a maximum impact and probability of occurrence: the product of these numbers gives a risk buffer to incorporate at proper points in the mid-level plan.
To insert new lines please use the custom "Insert Line with Formulas" options provided under the SA function menu. This is available as a cell,row selection and menubar option. This needs to be done to preserve the cells that have formulas.</t>
  </si>
  <si>
    <r>
      <t xml:space="preserve">Total Risk LOE
</t>
    </r>
    <r>
      <rPr>
        <sz val="10"/>
        <color theme="1"/>
        <rFont val="Calibri"/>
        <family val="2"/>
        <scheme val="minor"/>
      </rPr>
      <t>Calculated</t>
    </r>
  </si>
  <si>
    <t>Risk Impact</t>
  </si>
  <si>
    <t>Risk Buffer</t>
  </si>
  <si>
    <r>
      <t xml:space="preserve">Risk
</t>
    </r>
    <r>
      <rPr>
        <sz val="8"/>
        <color theme="1"/>
        <rFont val="Calibri"/>
        <family val="2"/>
        <scheme val="minor"/>
      </rPr>
      <t>Required</t>
    </r>
  </si>
  <si>
    <r>
      <t xml:space="preserve">Impact (Person Days)
</t>
    </r>
    <r>
      <rPr>
        <sz val="10"/>
        <color theme="1"/>
        <rFont val="Calibri"/>
        <family val="2"/>
        <scheme val="minor"/>
      </rPr>
      <t>Required</t>
    </r>
  </si>
  <si>
    <r>
      <t xml:space="preserve">Likelihood (%)
</t>
    </r>
    <r>
      <rPr>
        <sz val="10"/>
        <color theme="1"/>
        <rFont val="Calibri"/>
        <family val="2"/>
        <scheme val="minor"/>
      </rPr>
      <t>Required</t>
    </r>
  </si>
  <si>
    <r>
      <t xml:space="preserve">Risk Buffer
</t>
    </r>
    <r>
      <rPr>
        <sz val="10"/>
        <color theme="1"/>
        <rFont val="Calibri"/>
        <family val="2"/>
        <scheme val="minor"/>
      </rPr>
      <t>Calculated (Person Days)</t>
    </r>
  </si>
  <si>
    <r>
      <t xml:space="preserve">Risk explanation and mitigation plan
</t>
    </r>
    <r>
      <rPr>
        <sz val="10"/>
        <color theme="1"/>
        <rFont val="Calibri"/>
        <family val="2"/>
        <scheme val="minor"/>
      </rPr>
      <t>Required</t>
    </r>
  </si>
  <si>
    <t>Design closure of fund variation might lead more complexities and more variations on components</t>
  </si>
  <si>
    <t>Additional complexity on various integration touch points</t>
  </si>
  <si>
    <t>2 person on each 7 different integration touch points</t>
  </si>
  <si>
    <t>Responsive design might become much bigger and larger based on how it works</t>
  </si>
  <si>
    <t>Envs setup for production env and system testing might fall in the scope which hasn't been considered in the efforts here</t>
  </si>
  <si>
    <t>The testing might be much more complex based on all touch points</t>
  </si>
  <si>
    <t>The SI env's availability might delay integration testing and hence can lead to unknowns getting accumulated for later</t>
  </si>
  <si>
    <t>Planning and co-ordination with all 3rd parties might have to be done by sapient which is not accounted currently</t>
  </si>
  <si>
    <t>cut overplanning and activities might be much more comples than anticipated</t>
  </si>
  <si>
    <t>Staffing Plan</t>
  </si>
  <si>
    <t>Enter data from your release plan onto this summary sheet to enable easier manipulation and export to the deal tool. Use DD-MON-YY date format. Start date MUST be a Monday. End date MUST be a Friday — the template will export INCORRECT information without this. If necessary, customize the view for presentation on another worksheet — P&amp;L report reads from this format. The Date cell is MANDATORY — the P&amp;L report will not work without this. Enter the total number of people necessary for each role.</t>
  </si>
  <si>
    <t>T&amp;M resource plans should explicitly exclude vacation and other non-billable time on the Deal Sheet (not on this sheet).</t>
  </si>
  <si>
    <t>Project Start Date</t>
  </si>
  <si>
    <t>Project End Date</t>
  </si>
  <si>
    <t>Project Schedule</t>
  </si>
  <si>
    <t>Weeks</t>
  </si>
  <si>
    <t>Int/Sys/Perf Testing</t>
  </si>
  <si>
    <t>UAT &amp; Cutover</t>
  </si>
  <si>
    <t>Project Net Work</t>
  </si>
  <si>
    <t>Days</t>
  </si>
  <si>
    <t>Iteration 1</t>
  </si>
  <si>
    <t>Iteration 2</t>
  </si>
  <si>
    <t>Iteration 3</t>
  </si>
  <si>
    <t>Iteration 4</t>
  </si>
  <si>
    <t>Iteration 5</t>
  </si>
  <si>
    <t>Iteration 6</t>
  </si>
  <si>
    <t>Iteration 7</t>
  </si>
  <si>
    <t>Iteration 8</t>
  </si>
  <si>
    <t>Iteration 9</t>
  </si>
  <si>
    <t>Iteration 10</t>
  </si>
  <si>
    <t>Bill Rate Category</t>
  </si>
  <si>
    <t>Location</t>
  </si>
  <si>
    <t>Title</t>
  </si>
  <si>
    <t>Role</t>
  </si>
  <si>
    <t>Total FTE</t>
  </si>
  <si>
    <t>Percent
allocation</t>
  </si>
  <si>
    <t>Oversight Roles</t>
  </si>
  <si>
    <t>Local</t>
  </si>
  <si>
    <t>Boston</t>
  </si>
  <si>
    <t>Senior Manager Program Management</t>
  </si>
  <si>
    <t>Program Manager</t>
  </si>
  <si>
    <t>Senior Manager Technology</t>
  </si>
  <si>
    <t>Architect</t>
  </si>
  <si>
    <t>Director Technology</t>
  </si>
  <si>
    <t>Relationship Developer</t>
  </si>
  <si>
    <t>Senior Associate Business Consulting</t>
  </si>
  <si>
    <t>Associate Creative Director</t>
  </si>
  <si>
    <t>India Off-shore</t>
  </si>
  <si>
    <t>Gurgaon SEZ</t>
  </si>
  <si>
    <t>Manager Program Management</t>
  </si>
  <si>
    <t>Engagement Leader</t>
  </si>
  <si>
    <t>Manager Technology</t>
  </si>
  <si>
    <t>India On-shore</t>
  </si>
  <si>
    <t>Specialist Platform</t>
  </si>
  <si>
    <t>Senior Associate Technology L2</t>
  </si>
  <si>
    <t>Track Lead - Java</t>
  </si>
  <si>
    <t>Manager QA</t>
  </si>
  <si>
    <t>Test Lead</t>
  </si>
  <si>
    <t>Senior Interactive Developer L2</t>
  </si>
  <si>
    <t>Site Developer</t>
  </si>
  <si>
    <t>Total Oversight Person Days</t>
  </si>
  <si>
    <t>Team Roles</t>
  </si>
  <si>
    <t>Designer L2</t>
  </si>
  <si>
    <t>Design Lead</t>
  </si>
  <si>
    <t>Information Architect L2</t>
  </si>
  <si>
    <t>Information Architect</t>
  </si>
  <si>
    <t>Associate Search Director</t>
  </si>
  <si>
    <t>Pankaj</t>
  </si>
  <si>
    <t>Nishant Gupta</t>
  </si>
  <si>
    <t>Dharmendra</t>
  </si>
  <si>
    <t>Himanshu</t>
  </si>
  <si>
    <t>Senior Associate Technology L1</t>
  </si>
  <si>
    <t>Sr Developer - Java CMS</t>
  </si>
  <si>
    <t>Shallu</t>
  </si>
  <si>
    <t>Rakesh</t>
  </si>
  <si>
    <t>Developer - Java</t>
  </si>
  <si>
    <t>Alok Sharma</t>
  </si>
  <si>
    <t>Nidhi Gupta</t>
  </si>
  <si>
    <t>Kshamita</t>
  </si>
  <si>
    <t>Associate Technology L2</t>
  </si>
  <si>
    <t>Niranjan</t>
  </si>
  <si>
    <t>Vatsal</t>
  </si>
  <si>
    <t>Saurav</t>
  </si>
  <si>
    <t>Sunil</t>
  </si>
  <si>
    <t>Deepak</t>
  </si>
  <si>
    <t>Nitin</t>
  </si>
  <si>
    <t>Sachin saxena</t>
  </si>
  <si>
    <t>Hemant Bellani</t>
  </si>
  <si>
    <t>Apoorva ??</t>
  </si>
  <si>
    <t>Rashid??</t>
  </si>
  <si>
    <t>??</t>
  </si>
  <si>
    <t>Associate Technology L1</t>
  </si>
  <si>
    <t>Copywriter</t>
  </si>
  <si>
    <t>Contractor</t>
  </si>
  <si>
    <t>Senior Interactive Developer L1</t>
  </si>
  <si>
    <t>Vishwesh</t>
  </si>
  <si>
    <t>Rohit</t>
  </si>
  <si>
    <t>Interactive Developer</t>
  </si>
  <si>
    <t>Senior Associate QA L1</t>
  </si>
  <si>
    <t>Tester</t>
  </si>
  <si>
    <t>Prashant Sarwal</t>
  </si>
  <si>
    <t>Tanu</t>
  </si>
  <si>
    <t>Associate QA L2</t>
  </si>
  <si>
    <t>Anshu</t>
  </si>
  <si>
    <t>Chandni</t>
  </si>
  <si>
    <t>GSO</t>
  </si>
  <si>
    <t>Total Team Person Days</t>
  </si>
  <si>
    <t>Grand Total  Person Days</t>
  </si>
  <si>
    <t>Iteration 11</t>
  </si>
  <si>
    <t>Track LOE Summary</t>
  </si>
  <si>
    <t>This tab will show you how you have balanced your staffing plan against the planned loe by track.  This is to ensure that you haven't balanced your staffing to your total loe disproportionally against the types of work.  For example to make sure you haven't staffed all your loe for both site development and qa to the qa track.  To ensure that this report is accurate please make sure to leverage the "track" column accurately on the stories, obective risks, add-ins and staffing plan tabs</t>
  </si>
  <si>
    <t>Story LOE</t>
  </si>
  <si>
    <t>Add-in LOE</t>
  </si>
  <si>
    <t>Risk LOE</t>
  </si>
  <si>
    <t>Total LOE per Track</t>
  </si>
  <si>
    <t>Staffed LOE</t>
  </si>
  <si>
    <t>Balance</t>
  </si>
  <si>
    <t>Expected LOE Summary</t>
  </si>
  <si>
    <t>This sheet is read-only and shows the breakdown of the LOE by component.
• Recommended Oversight is 10-18% of total.
• Recommended Objective Risk is 9-17% of total.
Compare the Total LOE to the total person days in the Resource Plan.</t>
  </si>
  <si>
    <t>Component</t>
  </si>
  <si>
    <t>LOE in Days</t>
  </si>
  <si>
    <t>+</t>
  </si>
  <si>
    <t>Objective Risk</t>
  </si>
  <si>
    <t>Oversight</t>
  </si>
  <si>
    <t>Total LOE in Weeks</t>
  </si>
  <si>
    <t>% of Buffered LOE</t>
  </si>
  <si>
    <t>Staffing Reconciliation</t>
  </si>
  <si>
    <t>Total LOE</t>
  </si>
  <si>
    <t>Total Person Days</t>
  </si>
  <si>
    <t>Difference</t>
  </si>
  <si>
    <t>Percentage</t>
  </si>
  <si>
    <t>Name</t>
  </si>
  <si>
    <t>ID</t>
  </si>
  <si>
    <t>asdflköjsdf</t>
  </si>
  <si>
    <t>test</t>
  </si>
  <si>
    <t>asdfsdf</t>
  </si>
  <si>
    <t>tool_version_check</t>
  </si>
  <si>
    <t>4.04</t>
  </si>
  <si>
    <t>list_delivery_types</t>
  </si>
  <si>
    <t>list_sa_phases</t>
  </si>
  <si>
    <t>list_project_tracks</t>
  </si>
  <si>
    <t>list_story_types</t>
  </si>
  <si>
    <t>list_risk_categories</t>
  </si>
  <si>
    <t>list_scope_count</t>
  </si>
  <si>
    <t>list_bill_rate_categories</t>
  </si>
  <si>
    <t>list_offices</t>
  </si>
  <si>
    <t>list_roles</t>
  </si>
  <si>
    <t>list_titles</t>
  </si>
  <si>
    <t>total_loe</t>
  </si>
  <si>
    <t>Delivery</t>
  </si>
  <si>
    <t>Fusion</t>
  </si>
  <si>
    <t>Team / People</t>
  </si>
  <si>
    <t>## India Offices ##</t>
  </si>
  <si>
    <t>APM_QA</t>
  </si>
  <si>
    <t>## Delivery Titles ##</t>
  </si>
  <si>
    <t>tool_version_date</t>
  </si>
  <si>
    <t>Executable Architecture Release</t>
  </si>
  <si>
    <t>Operational</t>
  </si>
  <si>
    <t>Bangalore</t>
  </si>
  <si>
    <t>Account Coordinator</t>
  </si>
  <si>
    <t>tool_vox_address</t>
  </si>
  <si>
    <t>https://vox.sapient.com/groups/estimation-tool-ongoing-releases/</t>
  </si>
  <si>
    <t>Quality</t>
  </si>
  <si>
    <t>Gurgaon</t>
  </si>
  <si>
    <t>Art Director</t>
  </si>
  <si>
    <t>Account Director</t>
  </si>
  <si>
    <t>tool_vox_address_title</t>
  </si>
  <si>
    <t>Project / Program Mgmt</t>
  </si>
  <si>
    <t>Assistant Project Manager</t>
  </si>
  <si>
    <t>Account Executive</t>
  </si>
  <si>
    <t>Commercial</t>
  </si>
  <si>
    <t>NOIDA</t>
  </si>
  <si>
    <t>Account Manager</t>
  </si>
  <si>
    <t>Platform</t>
  </si>
  <si>
    <t>Pune</t>
  </si>
  <si>
    <t>Benefits</t>
  </si>
  <si>
    <t>Account Supervisor</t>
  </si>
  <si>
    <t>Stakeholder</t>
  </si>
  <si>
    <t>## Local Offices ##</t>
  </si>
  <si>
    <t>Business Analyst</t>
  </si>
  <si>
    <t>Analyst TRM Process Solutions</t>
  </si>
  <si>
    <t>Amsterdam</t>
  </si>
  <si>
    <t>Business Consultant</t>
  </si>
  <si>
    <t>Atlanta</t>
  </si>
  <si>
    <t>Client Executive</t>
  </si>
  <si>
    <t>Art Director L1</t>
  </si>
  <si>
    <t>Art Director L2</t>
  </si>
  <si>
    <t>Calgary</t>
  </si>
  <si>
    <t>Contract Administrator</t>
  </si>
  <si>
    <t>Assistant Media Planner</t>
  </si>
  <si>
    <t>Charleston</t>
  </si>
  <si>
    <t>Associate Art Director L1</t>
  </si>
  <si>
    <t>Chicago</t>
  </si>
  <si>
    <t>Creative Director</t>
  </si>
  <si>
    <t>Associate Art Director L2</t>
  </si>
  <si>
    <t>Cologne</t>
  </si>
  <si>
    <t>DAT</t>
  </si>
  <si>
    <t>Associate Business Consulting</t>
  </si>
  <si>
    <t>Denver</t>
  </si>
  <si>
    <t>DBA - DB2 UDB</t>
  </si>
  <si>
    <t>Associate Business Consulting TRM</t>
  </si>
  <si>
    <t>Detroit</t>
  </si>
  <si>
    <t>DBA - DB2 UDB2</t>
  </si>
  <si>
    <t>Associate Copywriter</t>
  </si>
  <si>
    <t>Dusseldorf</t>
  </si>
  <si>
    <t>DBA - MS SQL Server</t>
  </si>
  <si>
    <t>Geneva</t>
  </si>
  <si>
    <t>DBA - Oracle</t>
  </si>
  <si>
    <t>Associate Creative Director Experience Design</t>
  </si>
  <si>
    <t>Halifax</t>
  </si>
  <si>
    <t>DBA - Sybase</t>
  </si>
  <si>
    <t>Associate Creative Operations</t>
  </si>
  <si>
    <t>Hong Kong</t>
  </si>
  <si>
    <t>Associate Database L1</t>
  </si>
  <si>
    <t>Houston</t>
  </si>
  <si>
    <t>Developer - BI</t>
  </si>
  <si>
    <t>Associate Database L2</t>
  </si>
  <si>
    <t>Kansas City</t>
  </si>
  <si>
    <t>Developer - C++</t>
  </si>
  <si>
    <t>Associate Infrastructure L1</t>
  </si>
  <si>
    <t>London</t>
  </si>
  <si>
    <t>Developer - ETL</t>
  </si>
  <si>
    <t>Associate Infrastructure L2</t>
  </si>
  <si>
    <t>Los Angeles</t>
  </si>
  <si>
    <t>Associate Interactive Program Management</t>
  </si>
  <si>
    <t>Miami</t>
  </si>
  <si>
    <t>Developer - Java eCommerce</t>
  </si>
  <si>
    <t>Associate Marketing Strategy &amp; Analysis</t>
  </si>
  <si>
    <t>Minneapolis</t>
  </si>
  <si>
    <t>Developer - PL/SQL</t>
  </si>
  <si>
    <t>Associate Media Director</t>
  </si>
  <si>
    <t>Munich</t>
  </si>
  <si>
    <t>Developer - T-SQL</t>
  </si>
  <si>
    <t>Associate Media Operations</t>
  </si>
  <si>
    <t>New York</t>
  </si>
  <si>
    <t>Developer - Visual Basic</t>
  </si>
  <si>
    <t>Associate Oracle L1</t>
  </si>
  <si>
    <t>San Diego</t>
  </si>
  <si>
    <t>Developer - Visual FoxPro</t>
  </si>
  <si>
    <t>Associate Oracle L2</t>
  </si>
  <si>
    <t>San Francisco</t>
  </si>
  <si>
    <t>Developer - dotNET</t>
  </si>
  <si>
    <t>Associate Producer</t>
  </si>
  <si>
    <t>Schaffhausen</t>
  </si>
  <si>
    <t>Engagement Lead</t>
  </si>
  <si>
    <t>Associate Production/Logistics</t>
  </si>
  <si>
    <t>Singapore</t>
  </si>
  <si>
    <t>Associate Production/Logistics L1</t>
  </si>
  <si>
    <t>Stockholm</t>
  </si>
  <si>
    <t>Expansion</t>
  </si>
  <si>
    <t>Associate Production/Logistics L2</t>
  </si>
  <si>
    <t>Toronto</t>
  </si>
  <si>
    <t>Expense Approver</t>
  </si>
  <si>
    <t>Associate Program Management</t>
  </si>
  <si>
    <t>Washington DC</t>
  </si>
  <si>
    <t>Facilitator</t>
  </si>
  <si>
    <t>Associate QA L1</t>
  </si>
  <si>
    <t>Zurich</t>
  </si>
  <si>
    <t>Finance</t>
  </si>
  <si>
    <t>Forecast Authority</t>
  </si>
  <si>
    <t>Associate QA Product L1</t>
  </si>
  <si>
    <t>Forecast Primary Contact</t>
  </si>
  <si>
    <t>Associate QA Product L2</t>
  </si>
  <si>
    <t>Graphic/Visual Designer</t>
  </si>
  <si>
    <t>Hiring</t>
  </si>
  <si>
    <t>Infrastructure Analyst</t>
  </si>
  <si>
    <t>Associate TRM L1</t>
  </si>
  <si>
    <t>Legal</t>
  </si>
  <si>
    <t>Associate TRM L2</t>
  </si>
  <si>
    <t>Marketing</t>
  </si>
  <si>
    <t>Associate TRM Process Solutions</t>
  </si>
  <si>
    <t>OPS</t>
  </si>
  <si>
    <t>Associate TRM Process Solutions L1</t>
  </si>
  <si>
    <t>PMO Administrator</t>
  </si>
  <si>
    <t>Associate TRM Process Solutions L2</t>
  </si>
  <si>
    <t>PMO Lead</t>
  </si>
  <si>
    <t>Business Analyst TRM Process Solutions</t>
  </si>
  <si>
    <t>PSO Coordinator</t>
  </si>
  <si>
    <t>Consultant Infrastructure SAP L2</t>
  </si>
  <si>
    <t>People Strategist</t>
  </si>
  <si>
    <t>Consultant SAP L1</t>
  </si>
  <si>
    <t>Portfolio Analyst</t>
  </si>
  <si>
    <t>Consultant SAP L2</t>
  </si>
  <si>
    <t>Portfolio Approver</t>
  </si>
  <si>
    <t>Portfolio Owner</t>
  </si>
  <si>
    <t>Controller TRM Process Solutions</t>
  </si>
  <si>
    <t>Copy writer</t>
  </si>
  <si>
    <t>Project Authority</t>
  </si>
  <si>
    <t>Project Management</t>
  </si>
  <si>
    <t>Project Manager</t>
  </si>
  <si>
    <t>Creative Director Experience Design</t>
  </si>
  <si>
    <t>Project Staffing Owner</t>
  </si>
  <si>
    <t>Designer L1</t>
  </si>
  <si>
    <t>Requirements Manager</t>
  </si>
  <si>
    <t>Resource Authority</t>
  </si>
  <si>
    <t>Developer Mobile Solutions L1</t>
  </si>
  <si>
    <t>Resource Primary Contact</t>
  </si>
  <si>
    <t>Developer Mobile Solutions L2</t>
  </si>
  <si>
    <t>Director Business Consulting</t>
  </si>
  <si>
    <t>Specialist - Infrastructure</t>
  </si>
  <si>
    <t>Director Business Consulting TRM</t>
  </si>
  <si>
    <t>Specialist DBA - DB2 UDB</t>
  </si>
  <si>
    <t>Director Business Operations</t>
  </si>
  <si>
    <t>Specialist DBA - MS SQL Server</t>
  </si>
  <si>
    <t>Director Content Strategy</t>
  </si>
  <si>
    <t>Specialist DBA - Oracle</t>
  </si>
  <si>
    <t>Director Creative Operations</t>
  </si>
  <si>
    <t>Specialist DBA - Sybase</t>
  </si>
  <si>
    <t>Director Design</t>
  </si>
  <si>
    <t>Specialist Test Automation</t>
  </si>
  <si>
    <t>Director General Management</t>
  </si>
  <si>
    <t>Sr DBA - DB2 UDB</t>
  </si>
  <si>
    <t>Director Interactive Development</t>
  </si>
  <si>
    <t>Sr DBA - MS SQL Server</t>
  </si>
  <si>
    <t>Director Marketing Strategy &amp; Analysis</t>
  </si>
  <si>
    <t>Sr DBA - Oracle</t>
  </si>
  <si>
    <t>Director Producer</t>
  </si>
  <si>
    <t>Sr DBA - Sybase</t>
  </si>
  <si>
    <t>Director Program Management</t>
  </si>
  <si>
    <t>Sr Developer - BI</t>
  </si>
  <si>
    <t>Director QA</t>
  </si>
  <si>
    <t>Sr Developer - C++ Platform</t>
  </si>
  <si>
    <t>Director SAP</t>
  </si>
  <si>
    <t>Sr Developer - ETL</t>
  </si>
  <si>
    <t>Sr Developer - Java</t>
  </si>
  <si>
    <t>Director TRM</t>
  </si>
  <si>
    <t>Director TRM Process Solutions</t>
  </si>
  <si>
    <t>Sr Developer - Java Platform</t>
  </si>
  <si>
    <t>Divisional Controller TRM Process Solutions</t>
  </si>
  <si>
    <t>Sr Developer - Java eCommerce</t>
  </si>
  <si>
    <t>Executive Creative Director</t>
  </si>
  <si>
    <t>Sr Developer - PL/SQL</t>
  </si>
  <si>
    <t>Expert Database</t>
  </si>
  <si>
    <t>Sr Developer - T-SQL</t>
  </si>
  <si>
    <t>Expert Oracle</t>
  </si>
  <si>
    <t>Sr Developer - Visual Basic</t>
  </si>
  <si>
    <t>Expert Platform</t>
  </si>
  <si>
    <t>Sr Developer - Visual FoxPro</t>
  </si>
  <si>
    <t>Expert SAP</t>
  </si>
  <si>
    <t>Sr Developer - dotNET</t>
  </si>
  <si>
    <t>Group Account Director</t>
  </si>
  <si>
    <t>Sr Developer - dotNET Platform</t>
  </si>
  <si>
    <t>Head Financial Control TRM Process Solutions</t>
  </si>
  <si>
    <t>Sr Infrastructure Analyst</t>
  </si>
  <si>
    <t>Sr Test Delivery Manager</t>
  </si>
  <si>
    <t>Information Architect L1</t>
  </si>
  <si>
    <t>Staffing Owner</t>
  </si>
  <si>
    <t>Staffing Strategist</t>
  </si>
  <si>
    <t>Technical Developer - C++</t>
  </si>
  <si>
    <t>Interactive Developer L1</t>
  </si>
  <si>
    <t>Technical Developer - Database</t>
  </si>
  <si>
    <t>Interactive Developer L2</t>
  </si>
  <si>
    <t>Technical Developer - Infrastructure</t>
  </si>
  <si>
    <t>Jr Associate Interactive Program Management</t>
  </si>
  <si>
    <t>Technical Developer - Java</t>
  </si>
  <si>
    <t>Jr Associate Marketing Strategy &amp; Analysis</t>
  </si>
  <si>
    <t>Technical Developer - Microsoft / C#</t>
  </si>
  <si>
    <t>Jr Copywriter</t>
  </si>
  <si>
    <t>Technical Developer - Other</t>
  </si>
  <si>
    <t>Jr Designer</t>
  </si>
  <si>
    <t>Technical Developer - SAP</t>
  </si>
  <si>
    <t>Jr Information Architect</t>
  </si>
  <si>
    <t>Test - Automation Analyst</t>
  </si>
  <si>
    <t>Junior Art Director</t>
  </si>
  <si>
    <t>Test - Automation Architect</t>
  </si>
  <si>
    <t>Junior Associate Creative Operations</t>
  </si>
  <si>
    <t>Test Analyst_QA</t>
  </si>
  <si>
    <t>Junior Associate Producer</t>
  </si>
  <si>
    <t>Test Analyst Product</t>
  </si>
  <si>
    <t>Junior Associate Production/Logistics</t>
  </si>
  <si>
    <t>Test Delivery Manager</t>
  </si>
  <si>
    <t>Junior Associate Program Management</t>
  </si>
  <si>
    <t>Junior Associate Technology</t>
  </si>
  <si>
    <t>Junior Controller TRM Process Solutions</t>
  </si>
  <si>
    <t>Tester - Automated Testing</t>
  </si>
  <si>
    <t>Junior Developer Mobile Solutions</t>
  </si>
  <si>
    <t>Tester - Manual Testing</t>
  </si>
  <si>
    <t>Junior Interactive Developer</t>
  </si>
  <si>
    <t>Time approver</t>
  </si>
  <si>
    <t>Manager Business Analyst TRM Process Solutions</t>
  </si>
  <si>
    <t>Track Lead - C++/C#</t>
  </si>
  <si>
    <t>Manager Business Consulting</t>
  </si>
  <si>
    <t>Manager Business Consulting TRM</t>
  </si>
  <si>
    <t>Track Lead - Microsoft</t>
  </si>
  <si>
    <t>Manager Content Strategy</t>
  </si>
  <si>
    <t>Track Lead - Other</t>
  </si>
  <si>
    <t>Manager Copywriting</t>
  </si>
  <si>
    <t>Track Lead - dotNET</t>
  </si>
  <si>
    <t>Manager Creative Operations</t>
  </si>
  <si>
    <t>User Researcher</t>
  </si>
  <si>
    <t>Manager Design</t>
  </si>
  <si>
    <t>Utilization Authority</t>
  </si>
  <si>
    <t>Manager Information Architect</t>
  </si>
  <si>
    <t>Manager Interactive Development</t>
  </si>
  <si>
    <t>Manager Interactive Program Management</t>
  </si>
  <si>
    <t>Manager Marketing Strategy &amp; Analysis</t>
  </si>
  <si>
    <t>Manager Mobile Solutions</t>
  </si>
  <si>
    <t>Manager Oracle</t>
  </si>
  <si>
    <t>Manager Producer</t>
  </si>
  <si>
    <t>Manager Production/Logistics</t>
  </si>
  <si>
    <t>Manager SAP</t>
  </si>
  <si>
    <t>Manager TRM</t>
  </si>
  <si>
    <t>Manager TRM Process Solutions</t>
  </si>
  <si>
    <t>Media Director</t>
  </si>
  <si>
    <t>Media Planner</t>
  </si>
  <si>
    <t>Media Supervisor</t>
  </si>
  <si>
    <t>Officer TRM Process Solutions</t>
  </si>
  <si>
    <t>Operations Lead TRM Process Solutions</t>
  </si>
  <si>
    <t>Operations Manager TRM Process Solutions</t>
  </si>
  <si>
    <t>Search Analyst</t>
  </si>
  <si>
    <t>Search Director</t>
  </si>
  <si>
    <t>Search Manager</t>
  </si>
  <si>
    <t>Section Controller TRM Process Solutions</t>
  </si>
  <si>
    <t>Senior Art Director</t>
  </si>
  <si>
    <t>Senior Associate Business Consulting TRM</t>
  </si>
  <si>
    <t>Senior Associate Creative Operations</t>
  </si>
  <si>
    <t>Senior Associate Database L1</t>
  </si>
  <si>
    <t>Senior Associate Database L2</t>
  </si>
  <si>
    <t>Senior Associate Infrastructure L1</t>
  </si>
  <si>
    <t>Senior Associate Infrastructure L2</t>
  </si>
  <si>
    <t>Senior Associate Marketing Strategy &amp; Analysis</t>
  </si>
  <si>
    <t>Senior Associate Media Operations</t>
  </si>
  <si>
    <t>Senior Associate Oracle L1</t>
  </si>
  <si>
    <t>Senior Associate Oracle L2</t>
  </si>
  <si>
    <t>Senior Associate Platform L1</t>
  </si>
  <si>
    <t>Senior Associate Platform L2</t>
  </si>
  <si>
    <t>Senior Associate Producer</t>
  </si>
  <si>
    <t>Senior Associate Production/Logistics</t>
  </si>
  <si>
    <t>Senior Associate Production/Logistics L1</t>
  </si>
  <si>
    <t>Senior Associate Production/Logistics L2</t>
  </si>
  <si>
    <t>Senior Associate Program Management</t>
  </si>
  <si>
    <t>Senior Associate QA L2</t>
  </si>
  <si>
    <t>Senior Associate QA Product L1</t>
  </si>
  <si>
    <t>Senior Associate QA Product L2</t>
  </si>
  <si>
    <t>Senior Associate TRM L1</t>
  </si>
  <si>
    <t>Senior Associate TRM L2</t>
  </si>
  <si>
    <t>Senior Associate TRM Process Solutions</t>
  </si>
  <si>
    <t>Senior Associate TRM Process Solutions L1</t>
  </si>
  <si>
    <t>Senior Associate TRM Process Solutions L2</t>
  </si>
  <si>
    <t>Senior Business Analyst TRM Process Solutions</t>
  </si>
  <si>
    <t>Senior Consultant Infrastructure SAP L1</t>
  </si>
  <si>
    <t>Senior Consultant Infrastructure SAP L2</t>
  </si>
  <si>
    <t>Senior Consultant SAP L1</t>
  </si>
  <si>
    <t>Senior Consultant SAP L2</t>
  </si>
  <si>
    <t>Senior Content Strategist</t>
  </si>
  <si>
    <t>Senior Controller TRM Process Solutions</t>
  </si>
  <si>
    <t>Senior Copywriter</t>
  </si>
  <si>
    <t>Senior Designer L1</t>
  </si>
  <si>
    <t>Senior Designer L2</t>
  </si>
  <si>
    <t>Senior Developer Mobile Solutions L1</t>
  </si>
  <si>
    <t>Senior Developer Mobile Solutions L2</t>
  </si>
  <si>
    <t>Senior Information Architect</t>
  </si>
  <si>
    <t>Senior Information Architect L1</t>
  </si>
  <si>
    <t>Senior Information Architect L2</t>
  </si>
  <si>
    <t>Senior Interactive Developer</t>
  </si>
  <si>
    <t>Senior Manager Business Consulting</t>
  </si>
  <si>
    <t>Senior Manager Business Consulting TRM</t>
  </si>
  <si>
    <t>Senior Manager Content Strategy</t>
  </si>
  <si>
    <t>Senior Manager Creative Operations</t>
  </si>
  <si>
    <t>Senior Manager Design</t>
  </si>
  <si>
    <t>Senior Manager Interactive Development</t>
  </si>
  <si>
    <t>Senior Manager Marketing Strategy &amp; Analysis</t>
  </si>
  <si>
    <t>Senior Manager Mobile Solutions</t>
  </si>
  <si>
    <t>Senior Manager Oracle</t>
  </si>
  <si>
    <t>Senior Manager Producer</t>
  </si>
  <si>
    <t>Senior Manager Production/Logistics</t>
  </si>
  <si>
    <t>Senior Manager QA</t>
  </si>
  <si>
    <t>Senior Manager SAP</t>
  </si>
  <si>
    <t>Senior Manager TRM</t>
  </si>
  <si>
    <t>Senior Manager TRM Process Solutions</t>
  </si>
  <si>
    <t>Senior Media Planner</t>
  </si>
  <si>
    <t>Senior Officer TRM Process Solutions</t>
  </si>
  <si>
    <t>Senior Search Analyst</t>
  </si>
  <si>
    <t>Senior Specialist Database</t>
  </si>
  <si>
    <t>Senior Specialist Infrastructure</t>
  </si>
  <si>
    <t>Senior Specialist Infrastructure SAP</t>
  </si>
  <si>
    <t>Senior Specialist Mobile Solutions</t>
  </si>
  <si>
    <t>Senior Specialist Oracle</t>
  </si>
  <si>
    <t>Senior Specialist Platform</t>
  </si>
  <si>
    <t>Senior Specialist SAP</t>
  </si>
  <si>
    <t>Specialist Database</t>
  </si>
  <si>
    <t>Specialist Infrastructure</t>
  </si>
  <si>
    <t>Specialist Infrastructure SAP</t>
  </si>
  <si>
    <t>Specialist Mobile Solutions</t>
  </si>
  <si>
    <t>Specialist Oracle</t>
  </si>
  <si>
    <t>Specialist SAP</t>
  </si>
  <si>
    <t>Sr Associate Interactive Program Management</t>
  </si>
  <si>
    <t>Sr Copywriter</t>
  </si>
  <si>
    <t>Sr Designer</t>
  </si>
  <si>
    <t>Sr Manager Business Analyst TRM Process Solutions</t>
  </si>
  <si>
    <t>Sr Manager Interactive Program Management</t>
  </si>
  <si>
    <t>Team Manager TRM Process Solutions</t>
  </si>
  <si>
    <t>Trainee Mobile Solutions</t>
  </si>
  <si>
    <t>Trainee QA</t>
  </si>
  <si>
    <t>Trainee Technology</t>
  </si>
  <si>
    <t>Vice President Business Consulting</t>
  </si>
  <si>
    <t>Vice President Business Consulting TRM</t>
  </si>
  <si>
    <t>Vice President General Management</t>
  </si>
  <si>
    <t>Vice President Program Management</t>
  </si>
  <si>
    <t>Vice President SAP</t>
  </si>
  <si>
    <t>Vice President Technology</t>
  </si>
  <si>
    <t>Vice President TRM Process Solutions</t>
  </si>
  <si>
    <t>VP Content Strategy</t>
  </si>
  <si>
    <t>VP Creative</t>
  </si>
  <si>
    <t>VP Design</t>
  </si>
  <si>
    <t>VP Experience Design</t>
  </si>
  <si>
    <t>VP Group Account Director</t>
  </si>
  <si>
    <t>VP Interactive Development</t>
  </si>
  <si>
    <t>VP Marketing Strategy &amp; Analysis</t>
  </si>
  <si>
    <t>VP Media</t>
  </si>
  <si>
    <t>## Sapient Internal ##</t>
  </si>
  <si>
    <t>Associate Alliances</t>
  </si>
  <si>
    <t>Associate Business Operations</t>
  </si>
  <si>
    <t>Associate Executive Admin</t>
  </si>
  <si>
    <t>Associate Expansion</t>
  </si>
  <si>
    <t>Associate Finance</t>
  </si>
  <si>
    <t>Associate Financial Analyst</t>
  </si>
  <si>
    <t>Associate GPM</t>
  </si>
  <si>
    <t>Associate Hiring</t>
  </si>
  <si>
    <t>Associate Hiring Coordinator</t>
  </si>
  <si>
    <t>Associate IT</t>
  </si>
  <si>
    <t>Associate IT GS Global Support L1</t>
  </si>
  <si>
    <t>Associate IT GS Global Support L2</t>
  </si>
  <si>
    <t>Associate IT Local Support L1</t>
  </si>
  <si>
    <t>Associate IT Local Support L2</t>
  </si>
  <si>
    <t>Associate IT Operations L1</t>
  </si>
  <si>
    <t>Associate IT Operations L2</t>
  </si>
  <si>
    <t>Associate Learning &amp; Development</t>
  </si>
  <si>
    <t>Associate Legal</t>
  </si>
  <si>
    <t>Associate Marketing</t>
  </si>
  <si>
    <t>Associate Office Services</t>
  </si>
  <si>
    <t>Associate People Strategy</t>
  </si>
  <si>
    <t>Associate People Strategy Compensation</t>
  </si>
  <si>
    <t>Associate Staffing</t>
  </si>
  <si>
    <t>Chief Executive Officer</t>
  </si>
  <si>
    <t>Chief Financial Officer</t>
  </si>
  <si>
    <t>Chief Information Officer</t>
  </si>
  <si>
    <t>Consultant DBA Oracle Applications L2</t>
  </si>
  <si>
    <t>Consultant Oracle Applications L1</t>
  </si>
  <si>
    <t>Consultant Oracle Applications L2</t>
  </si>
  <si>
    <t>Director Alliances</t>
  </si>
  <si>
    <t>Director Business Development</t>
  </si>
  <si>
    <t>Director Finance</t>
  </si>
  <si>
    <t>Director Hiring</t>
  </si>
  <si>
    <t>Director IT</t>
  </si>
  <si>
    <t>Director Learning &amp; Development</t>
  </si>
  <si>
    <t>Director Legal</t>
  </si>
  <si>
    <t>Director Marketing</t>
  </si>
  <si>
    <t>Director Office Services</t>
  </si>
  <si>
    <t>Director Operations</t>
  </si>
  <si>
    <t>Director People Strategy</t>
  </si>
  <si>
    <t>Director People Strategy Compensation</t>
  </si>
  <si>
    <t>Director Risk Management</t>
  </si>
  <si>
    <t>Executive Vice President</t>
  </si>
  <si>
    <t>Junior Associate IT</t>
  </si>
  <si>
    <t>Manager Alliances</t>
  </si>
  <si>
    <t>Manager Business Operations</t>
  </si>
  <si>
    <t>Manager Expansion</t>
  </si>
  <si>
    <t>Manager Finance</t>
  </si>
  <si>
    <t>Manager GPM</t>
  </si>
  <si>
    <t>Manager Hiring</t>
  </si>
  <si>
    <t>Manager IT</t>
  </si>
  <si>
    <t>Manager Learning &amp; Development</t>
  </si>
  <si>
    <t>Manager Legal</t>
  </si>
  <si>
    <t>Manager Marketing</t>
  </si>
  <si>
    <t>Manager Office Services</t>
  </si>
  <si>
    <t>Manager Operations</t>
  </si>
  <si>
    <t>Manager People Strategy</t>
  </si>
  <si>
    <t>Manager People Strategy Benefits</t>
  </si>
  <si>
    <t>Manager People Strategy Expatriate</t>
  </si>
  <si>
    <t>Manager Staffing</t>
  </si>
  <si>
    <t>Management Trainee People Success</t>
  </si>
  <si>
    <t>Payroll Analyst Finance</t>
  </si>
  <si>
    <t>Senior Vice President</t>
  </si>
  <si>
    <t>Senior Vice President General Counsel</t>
  </si>
  <si>
    <t>Senior Associate Alliances</t>
  </si>
  <si>
    <t>Senior Associate Business Operations</t>
  </si>
  <si>
    <t>Senior Associate Executive Admin</t>
  </si>
  <si>
    <t>Senior Associate Finance</t>
  </si>
  <si>
    <t>Senior Associate GPM</t>
  </si>
  <si>
    <t>Senior Associate Hiring</t>
  </si>
  <si>
    <t>Senior Associate Hiring Coordinator</t>
  </si>
  <si>
    <t>Senior Associate IT</t>
  </si>
  <si>
    <t>Senior Associate IT GS Global Support L1</t>
  </si>
  <si>
    <t>Senior Associate IT Local Support L1</t>
  </si>
  <si>
    <t>Senior Associate IT Local Support L2</t>
  </si>
  <si>
    <t>Senior Associate IT Operations L1</t>
  </si>
  <si>
    <t>Senior Associate IT Operations L2</t>
  </si>
  <si>
    <t>Senior Associate Learning &amp; Development</t>
  </si>
  <si>
    <t>Senior Associate Legal</t>
  </si>
  <si>
    <t>Senior Associate Marketing</t>
  </si>
  <si>
    <t>Senior Associate Office Services</t>
  </si>
  <si>
    <t>Senior Associate People Strategy</t>
  </si>
  <si>
    <t>Senior Associate Staffing</t>
  </si>
  <si>
    <t>Senior Consultant Oracle Applications L1</t>
  </si>
  <si>
    <t>Senior Consultant Oracle Applications L2</t>
  </si>
  <si>
    <t>Senior Manager Alliances</t>
  </si>
  <si>
    <t>Senior Manager Business Development</t>
  </si>
  <si>
    <t>Senior Manager Business Operations</t>
  </si>
  <si>
    <t>Senior Manager Expansion</t>
  </si>
  <si>
    <t>Senior Manager Finance</t>
  </si>
  <si>
    <t>Senior Manager GPM</t>
  </si>
  <si>
    <t>Senior Manager Hiring</t>
  </si>
  <si>
    <t>Senior Manager IT</t>
  </si>
  <si>
    <t>Senior Manager Learning &amp; Development</t>
  </si>
  <si>
    <t>Senior Manager Legal</t>
  </si>
  <si>
    <t>Senior Manager Marketing</t>
  </si>
  <si>
    <t>Senior Manager Office Services</t>
  </si>
  <si>
    <t>Senior Manager People Strategy</t>
  </si>
  <si>
    <t>Senior Manager People Strategy Benefits</t>
  </si>
  <si>
    <t>Senior Manager People Strategy Compensation</t>
  </si>
  <si>
    <t>Senior Manager Staffing</t>
  </si>
  <si>
    <t>Senior Specialist Executive Admin</t>
  </si>
  <si>
    <t>Senior Specialist IT</t>
  </si>
  <si>
    <t>Senior Specialist DBA Oracle Applications</t>
  </si>
  <si>
    <t>Senior Specialist Oracle Applications</t>
  </si>
  <si>
    <t>Specialist DBA Oracle Applications</t>
  </si>
  <si>
    <t>Specialist Executive Admin</t>
  </si>
  <si>
    <t>Specialist IT</t>
  </si>
  <si>
    <t>Specialist Oracle Applications</t>
  </si>
  <si>
    <t>Vice President Alliances</t>
  </si>
  <si>
    <t>Vice President Business Development</t>
  </si>
  <si>
    <t>Vice President Finance</t>
  </si>
  <si>
    <t>Vice President Learning &amp; Development</t>
  </si>
  <si>
    <t>Vice President Legal</t>
  </si>
  <si>
    <t>Vice President Managing Director</t>
  </si>
  <si>
    <t>Vice President Marketing</t>
  </si>
  <si>
    <t>Vice President People Success</t>
  </si>
  <si>
    <t>Vice President People Strategy</t>
  </si>
  <si>
    <t>Vice President Risk Management</t>
  </si>
  <si>
    <t>Export
To</t>
  </si>
  <si>
    <t>Export Column
Position</t>
  </si>
  <si>
    <t>Export Column
Name</t>
  </si>
  <si>
    <t>Sheet Column
Name</t>
  </si>
  <si>
    <t>Output
Format</t>
  </si>
  <si>
    <t>Output
Filename</t>
  </si>
  <si>
    <t>RS2</t>
  </si>
  <si>
    <t>CSV</t>
  </si>
  <si>
    <t>RS3</t>
  </si>
  <si>
    <t>XLS</t>
  </si>
  <si>
    <t>JIRA</t>
  </si>
  <si>
    <t>TEST</t>
  </si>
  <si>
    <t>Story ID</t>
  </si>
  <si>
    <t>Summary</t>
  </si>
  <si>
    <t>Assigned To</t>
  </si>
  <si>
    <t>Release</t>
  </si>
  <si>
    <t>Iteration</t>
  </si>
  <si>
    <t>Version</t>
  </si>
  <si>
    <t>BE</t>
  </si>
  <si>
    <t>In Out</t>
  </si>
  <si>
    <t>Assumptions:</t>
  </si>
  <si>
    <t>The functional specification documents will be complted in the design phase and no spillover effort is required to be considered for implementation phase</t>
  </si>
  <si>
    <t>The following browsers will be covered as a part of the browser testing for end user
1.IE 7, IE 8
2. Firefox 11
3. Chrome 17
4. Safari 5.1
5. IPad 2 and 3 / iOS 5
During the course of development, if new browser versions are available, the testing will be inlcude these versions, till the point when the testing phases start.</t>
  </si>
  <si>
    <t>The authoring interface will support the product supported browsers only. No effort will be put in fixing product issues for cross browser compatibility. Please refer to the details available at http://dev.day.com/docs/en/cq/current/deploying/technical_requirements.html#Supported Client Platforms</t>
  </si>
  <si>
    <t>The authoring interface will be used as is, and will not require additional customizations to support branding\customizations of the interface</t>
  </si>
  <si>
    <t>The content migration will be responsibility of Client XYZ. Sapient will provide the training and support the content creation phase</t>
  </si>
  <si>
    <t>The effort required for WORM cmpliance has not been added into the existing estimations due to lack of clarity. This needs to be additionally estimated once the requirements and approach is clarified</t>
  </si>
  <si>
    <t>Considering the Literature section is not beign served by DST, no SSO integration will be requried any more. The LDAP will still be created to carry the user authentication data</t>
  </si>
  <si>
    <t>The user data will be migrated to the LDAP and the preferences will be saved in a custom database. The migration will be done for 2000-3000 active users of the system</t>
  </si>
  <si>
    <t>The automation of the test scripts will be limited to end user test cases. The author interface testing will not be covered for automation testing</t>
  </si>
  <si>
    <t>The ordering system will be able to provide a REST\http interface to interact with the ordering data</t>
  </si>
  <si>
    <t xml:space="preserve">The availability of the third parties for interactions and closure will be owned by Client XYZ. </t>
  </si>
  <si>
    <t xml:space="preserve">Assumptions for Ad Review Process:
• A version of the content (page/document) will be created at each step of the workflow.
• The super-admin (or a user with required privileges) can pull out a simple report of the different items in workflow and the status. (Nice to have)
• The super-admin (or a user with required privileges) will be able to use the workflow administration console to check the history of the workflow. (Good to have))
• If the content is a page, it can be reviewed and annotated within the system. The author can make changes for review comments and move it further in workflow steps for processing.
• In case the content is a document\any format which is not directly editable in the CMS, the user will upload the required updated content using the dialogs made available as workflow steps.
</t>
  </si>
  <si>
    <t>The integration mechanism used as a base for the estimation is as mentioned below:</t>
  </si>
  <si>
    <t>System/3rd party/vendor</t>
  </si>
  <si>
    <t>Interface</t>
  </si>
  <si>
    <t>http/REST</t>
  </si>
  <si>
    <t>Preload list of 35K+ funds for suggestive search box</t>
  </si>
  <si>
    <t>http/Iframe</t>
  </si>
  <si>
    <t xml:space="preserve">Fetch Fund vs. Fund comparison tool as an Iframe-based markup </t>
  </si>
  <si>
    <t>Fetch spotlight fund rating for given fund</t>
  </si>
  <si>
    <t>Financial Advisor DB Service</t>
  </si>
  <si>
    <t>Sftp/CSV</t>
  </si>
  <si>
    <t>Data making it possible to validate whether a new user is a FINRA-registered Financial Advisor. Sent by external vendor as an xls/csv file over secure ftp.</t>
  </si>
  <si>
    <t>SalesForce</t>
  </si>
  <si>
    <t>https/Genesis</t>
  </si>
  <si>
    <t>Register a newly created user at SalesForce</t>
  </si>
  <si>
    <t>https/SOAP</t>
  </si>
  <si>
    <t>Email archival on delivery server - as an auditing requirement</t>
  </si>
  <si>
    <t>Synthesis</t>
  </si>
  <si>
    <t>sftp/xml</t>
  </si>
  <si>
    <t xml:space="preserve">Fetch fund-specific data </t>
  </si>
  <si>
    <t>Document Fulfillment</t>
  </si>
  <si>
    <t>https/REST</t>
  </si>
  <si>
    <t>Send the list of ordered documents against the given user profile</t>
  </si>
  <si>
    <t>SiteCatalyst</t>
  </si>
  <si>
    <t>http</t>
  </si>
  <si>
    <t>Retrieve user interaction history for pushing to CRM/SalesForce</t>
  </si>
  <si>
    <t>DST</t>
  </si>
  <si>
    <t>Sftp/PDF</t>
  </si>
  <si>
    <t>Syndicate the published documents to DST in order to allow synchronization of Literature Board app</t>
  </si>
  <si>
    <t>Send user interaction history assimilated from analytics tool to the CRM system</t>
  </si>
  <si>
    <t>Get broker interaction leads to drive marketing content</t>
  </si>
  <si>
    <t>sftp/pdf</t>
  </si>
  <si>
    <t>Documents sent over by Synthesis</t>
  </si>
  <si>
    <t>The Architecture documents are covered as a part of the design phase and will not require additional effort in the EAR\implementation phase</t>
  </si>
  <si>
    <t>Sum of Buffered</t>
  </si>
  <si>
    <t>Column Labels</t>
  </si>
  <si>
    <t>Row Labels</t>
  </si>
  <si>
    <t>(blank)</t>
  </si>
  <si>
    <t>Grand Total</t>
  </si>
  <si>
    <t>weeks</t>
  </si>
  <si>
    <t>days</t>
  </si>
  <si>
    <t>story</t>
  </si>
  <si>
    <t>days in stories</t>
  </si>
  <si>
    <t>reduce from story</t>
  </si>
  <si>
    <t>warranty</t>
  </si>
  <si>
    <t>migration scripts</t>
  </si>
  <si>
    <t>cutover</t>
  </si>
  <si>
    <t>security testing</t>
  </si>
  <si>
    <t>infra + training content + security fixing + performance fixing</t>
  </si>
  <si>
    <t>system itegration testing</t>
  </si>
  <si>
    <t>IA + Designer</t>
  </si>
  <si>
    <t>Content entry</t>
  </si>
  <si>
    <t>QA Automation</t>
  </si>
  <si>
    <t>Sitedev</t>
  </si>
  <si>
    <t>CMS DEV</t>
  </si>
  <si>
    <r>
      <t xml:space="preserve">Item
</t>
    </r>
    <r>
      <rPr>
        <sz val="10"/>
        <rFont val="Arial"/>
        <family val="2"/>
      </rPr>
      <t>Required</t>
    </r>
  </si>
  <si>
    <t>Functionality 
First Implemented 
Wave 1, 2, or 3</t>
  </si>
  <si>
    <t>Missing Wireframe</t>
  </si>
  <si>
    <t>Missing FSD</t>
  </si>
  <si>
    <t>Comments</t>
  </si>
  <si>
    <t>1.1</t>
  </si>
  <si>
    <t>Content Pages</t>
  </si>
  <si>
    <t>1.1.1</t>
  </si>
  <si>
    <t>Home Page</t>
  </si>
  <si>
    <t>1.1.1.1</t>
  </si>
  <si>
    <t>Pre-Segmentation Home Page (Anonymous)</t>
  </si>
  <si>
    <t>1.1.1.2</t>
  </si>
  <si>
    <t>Segment Home Page (Anonymous)</t>
  </si>
  <si>
    <t>1.1.1.3</t>
  </si>
  <si>
    <t>Home Page (Logged In Audience-level segmentation)</t>
  </si>
  <si>
    <t>1.1.1.4</t>
  </si>
  <si>
    <t>Home Page (Logged In User-level Dynamic Personalization)</t>
  </si>
  <si>
    <t>1.1.1.5</t>
  </si>
  <si>
    <t>Home Page Widgets</t>
  </si>
  <si>
    <t>NA</t>
  </si>
  <si>
    <t>1.1.1.5.1</t>
  </si>
  <si>
    <t>1.1.1.5.2</t>
  </si>
  <si>
    <t>1.1.1.5.3</t>
  </si>
  <si>
    <t>Fund Finder (see Funds section)</t>
  </si>
  <si>
    <t>Hero Carousel</t>
  </si>
  <si>
    <t>Disclosures</t>
  </si>
  <si>
    <t>1.1.2</t>
  </si>
  <si>
    <t>Global Components</t>
  </si>
  <si>
    <t>1.1.2.1</t>
  </si>
  <si>
    <t>Carousel</t>
  </si>
  <si>
    <t>1.1.2.2</t>
  </si>
  <si>
    <t>1.1.2.3</t>
  </si>
  <si>
    <t>Header</t>
  </si>
  <si>
    <t>Combination of components</t>
  </si>
  <si>
    <t>1.1.2.4</t>
  </si>
  <si>
    <t>1.1.3</t>
  </si>
  <si>
    <t>Practice Management Page</t>
  </si>
  <si>
    <t>???</t>
  </si>
  <si>
    <t>Yes</t>
  </si>
  <si>
    <t>1.1.3.1</t>
  </si>
  <si>
    <t>Practice Management Landing</t>
  </si>
  <si>
    <t>1.1.3.2</t>
  </si>
  <si>
    <t>Prospecting Strategies</t>
  </si>
  <si>
    <t>1.1.3.3</t>
  </si>
  <si>
    <t>Tools &amp; Calculators</t>
  </si>
  <si>
    <t>1.1.3.4</t>
  </si>
  <si>
    <t>DCIO Value Add</t>
  </si>
  <si>
    <t>1.1.3.5</t>
  </si>
  <si>
    <t>Tax Awareness</t>
  </si>
  <si>
    <t>1.1.3.6</t>
  </si>
  <si>
    <t>Seminars</t>
  </si>
  <si>
    <t>1.1.4</t>
  </si>
  <si>
    <t>Contact Us</t>
  </si>
  <si>
    <t>Website Sales Support</t>
  </si>
  <si>
    <t>Mutual Funds</t>
  </si>
  <si>
    <t>College Savings</t>
  </si>
  <si>
    <t>1.1.4.1</t>
  </si>
  <si>
    <t>Email</t>
  </si>
  <si>
    <t>1.1.4.2</t>
  </si>
  <si>
    <t>1.1.4.3</t>
  </si>
  <si>
    <t>Postal Mail</t>
  </si>
  <si>
    <t>1.1.4.4</t>
  </si>
  <si>
    <t>Click to Chat (24x7)</t>
  </si>
  <si>
    <t>1.1.4.5</t>
  </si>
  <si>
    <t>Click to Call</t>
  </si>
  <si>
    <t>1.1.5</t>
  </si>
  <si>
    <t>Funds</t>
  </si>
  <si>
    <t>1.1.5.1</t>
  </si>
  <si>
    <t>Morningstar Compare Funds Panel</t>
  </si>
  <si>
    <t>1.1.5.2</t>
  </si>
  <si>
    <t>Morningstar Compare Funds Results</t>
  </si>
  <si>
    <t>1.1.5.3</t>
  </si>
  <si>
    <t>Funds Module Filter (a.k.a. Fund Finder)</t>
  </si>
  <si>
    <t>1.1.5.3.1</t>
  </si>
  <si>
    <t>All Funds</t>
  </si>
  <si>
    <t>Part of Funds Module</t>
  </si>
  <si>
    <t>1.1.5.3.2</t>
  </si>
  <si>
    <t>Featured Funds</t>
  </si>
  <si>
    <t>1.1.5.3.3</t>
  </si>
  <si>
    <t>Domestic Equity</t>
  </si>
  <si>
    <t>1.1.5.3.4</t>
  </si>
  <si>
    <t>International Equity</t>
  </si>
  <si>
    <t>1.1.5.3.5</t>
  </si>
  <si>
    <t>Mixed Asset</t>
  </si>
  <si>
    <t>1.1.5.3.6</t>
  </si>
  <si>
    <t>Fixed Income</t>
  </si>
  <si>
    <t>1.1.5.3.7</t>
  </si>
  <si>
    <t>Allocation &amp; Target Retirement</t>
  </si>
  <si>
    <t>1.1.5.3.8</t>
  </si>
  <si>
    <t>4 &amp; 5 Star (and unrated)</t>
  </si>
  <si>
    <t>1.1.5.3.9</t>
  </si>
  <si>
    <t>Search (type-ahead fund search list)</t>
  </si>
  <si>
    <t>1.1.5.4</t>
  </si>
  <si>
    <t>Fund List (Landing Page)</t>
  </si>
  <si>
    <t>1.1.5.5</t>
  </si>
  <si>
    <t>Fund Performance</t>
  </si>
  <si>
    <t>1.1.5.5.1</t>
  </si>
  <si>
    <t>View Selector (Select Class &amp; one of: All Funds Alphabetically or All Funds by Investment Style)</t>
  </si>
  <si>
    <t>Part of Performance</t>
  </si>
  <si>
    <t>1.1.5.5.2</t>
  </si>
  <si>
    <t>Performance Metric window</t>
  </si>
  <si>
    <t>1.1.5.5.2.1</t>
  </si>
  <si>
    <t xml:space="preserve">   Monthly &amp; YTD Page</t>
  </si>
  <si>
    <t>1.1.5.5.2.2</t>
  </si>
  <si>
    <t xml:space="preserve">   Quarterly Page</t>
  </si>
  <si>
    <t>1.1.5.5.3</t>
  </si>
  <si>
    <t>About Our Share Classes</t>
  </si>
  <si>
    <t>1.1.5.5.4</t>
  </si>
  <si>
    <t>Footer business rule</t>
  </si>
  <si>
    <t>1.1.5.5.4.1</t>
  </si>
  <si>
    <t xml:space="preserve">   Policy</t>
  </si>
  <si>
    <t>1.1.5.5.4.2</t>
  </si>
  <si>
    <t xml:space="preserve">   Legal Notices</t>
  </si>
  <si>
    <t>1.1.5.5.4.3</t>
  </si>
  <si>
    <t xml:space="preserve">   Security</t>
  </si>
  <si>
    <t>1.1.5.6</t>
  </si>
  <si>
    <t>1.1.5.6.1</t>
  </si>
  <si>
    <t>Part of Fund Basics</t>
  </si>
  <si>
    <t>1.1.5.6.2</t>
  </si>
  <si>
    <t>Fund Basics Metric window</t>
  </si>
  <si>
    <t>1.1.5.6.3</t>
  </si>
  <si>
    <t>1.1.5.7</t>
  </si>
  <si>
    <t>1.1.5.7.1</t>
  </si>
  <si>
    <t>Part of Daily Prices</t>
  </si>
  <si>
    <t>1.1.5.7.2</t>
  </si>
  <si>
    <t>Daily Prices Metric window</t>
  </si>
  <si>
    <t>1.1.5.7.2.1</t>
  </si>
  <si>
    <t xml:space="preserve">   Daily Prices Page</t>
  </si>
  <si>
    <t>1.1.5.7.3</t>
  </si>
  <si>
    <t>1.1.5.8</t>
  </si>
  <si>
    <t>Funds Detail</t>
  </si>
  <si>
    <t>1.1.5.8.1</t>
  </si>
  <si>
    <t>Class selection drop down</t>
  </si>
  <si>
    <t>1.1.5.8.2</t>
  </si>
  <si>
    <t>Overview Section</t>
  </si>
  <si>
    <t>Overview</t>
  </si>
  <si>
    <t>1.1.5.8.3</t>
  </si>
  <si>
    <t>Left Navigation</t>
  </si>
  <si>
    <t>1.1.5.8.3.1</t>
  </si>
  <si>
    <t>Net Asset Value</t>
  </si>
  <si>
    <t>Part of Fund Navigation Pane</t>
  </si>
  <si>
    <t>1.1.5.8.3.2</t>
  </si>
  <si>
    <t>Net Asset Value Change</t>
  </si>
  <si>
    <t>1.1.5.8.3.3</t>
  </si>
  <si>
    <t>Morningstar category</t>
  </si>
  <si>
    <t>1.1.5.8.3.4</t>
  </si>
  <si>
    <t>Lipper category</t>
  </si>
  <si>
    <t>1.1.5.8.3.5</t>
  </si>
  <si>
    <t>Investment Objective</t>
  </si>
  <si>
    <t>1.1.5.8.3.6</t>
  </si>
  <si>
    <t>Statistics Drawer</t>
  </si>
  <si>
    <t>1.1.5.8.3.7</t>
  </si>
  <si>
    <t>Fund Basics Drawer</t>
  </si>
  <si>
    <t>1.1.5.8.3.8</t>
  </si>
  <si>
    <t>Analysis Drawer</t>
  </si>
  <si>
    <t>1.1.5.8.3.9</t>
  </si>
  <si>
    <t>Literature Drawer</t>
  </si>
  <si>
    <t>1.1.5.8.3.10</t>
  </si>
  <si>
    <t>Literature Links (fund fact sheet, prospectus and annual report)</t>
  </si>
  <si>
    <t>1.1.5.8.3.11</t>
  </si>
  <si>
    <t>Statistics</t>
  </si>
  <si>
    <t>1.1.5.8.3.12</t>
  </si>
  <si>
    <t xml:space="preserve">Fund Basics  </t>
  </si>
  <si>
    <t>1.1.5.8.3.13</t>
  </si>
  <si>
    <t>Analysis Morningstar Tools (Compare, Investment Detail Report, Hypothetical)</t>
  </si>
  <si>
    <t>1.1.5.8.4</t>
  </si>
  <si>
    <t>Share Nav on Overview Section</t>
  </si>
  <si>
    <t>1.1.5.8.5</t>
  </si>
  <si>
    <t>Print Nav on Overview section</t>
  </si>
  <si>
    <t>1.1.5.8.6</t>
  </si>
  <si>
    <t>Portfolio Manager on Overview Section</t>
  </si>
  <si>
    <t>1.1.5.8.7</t>
  </si>
  <si>
    <t>Quarterly Commentary on Overview Sectoin</t>
  </si>
  <si>
    <t>Quarterly Commentry</t>
  </si>
  <si>
    <t>1.1.5.8.8</t>
  </si>
  <si>
    <t>Performance Section</t>
  </si>
  <si>
    <t>1.1.5.8.8.1</t>
  </si>
  <si>
    <t>Section: Quarterly Average Annual Return (Share Specific)</t>
  </si>
  <si>
    <t>1.1.5.8.8.2</t>
  </si>
  <si>
    <t>Section: Monthly Average Annual Total Return (Share SpecifiC)</t>
  </si>
  <si>
    <t>1.1.5.8.8.3</t>
  </si>
  <si>
    <t>Section: Average Annual Total returns (YTD: 1 year, 3 year, 5 year, 10 year - since inception), also compared against benchmark</t>
  </si>
  <si>
    <t>1.1.5.8.8.4</t>
  </si>
  <si>
    <t>Section: Expenses</t>
  </si>
  <si>
    <t>1.1.5.8.8.5</t>
  </si>
  <si>
    <t>Section: Calendar Year Total Return (Share Specific)</t>
  </si>
  <si>
    <t>1.1.5.8.8.6</t>
  </si>
  <si>
    <t>Section: Value of a $10,000 Investment (Mountain chart - share specific)</t>
  </si>
  <si>
    <t>1.1.5.8.8.7</t>
  </si>
  <si>
    <t>Enhanced visualization of fund and performance data (e.g., advanced charting features beyond out-of-the-box Morningstar capabilities</t>
  </si>
  <si>
    <t>1.1.5.8.9</t>
  </si>
  <si>
    <t>Characteristics Section</t>
  </si>
  <si>
    <t>1.1.5.8.9.1</t>
  </si>
  <si>
    <t>Top 10 holdings</t>
  </si>
  <si>
    <t>1.1.5.8.9.2</t>
  </si>
  <si>
    <t>Link to full holdings list (pdf file)</t>
  </si>
  <si>
    <t>1.1.5.8.9.3</t>
  </si>
  <si>
    <t>Holdings characteristics</t>
  </si>
  <si>
    <t>1.1.5.8.9.4</t>
  </si>
  <si>
    <t>Market cap distribution</t>
  </si>
  <si>
    <t>1.1.5.8.9.5</t>
  </si>
  <si>
    <t>Sector exposure</t>
  </si>
  <si>
    <t>1.1.5.8.9.6</t>
  </si>
  <si>
    <t>Dividend and Capital Gains Distributions</t>
  </si>
  <si>
    <t>1.1.5.8.10</t>
  </si>
  <si>
    <t>Insights Section</t>
  </si>
  <si>
    <t>1.1.5.8.10.1</t>
  </si>
  <si>
    <t>Fund Manager Commentary</t>
  </si>
  <si>
    <t>1.1.5.8.10.2</t>
  </si>
  <si>
    <t>White Papers / Commentary</t>
  </si>
  <si>
    <t>1.1.5.8.10.3</t>
  </si>
  <si>
    <t>Insights</t>
  </si>
  <si>
    <t>1.1.5.8.10.4</t>
  </si>
  <si>
    <t>1.1.5.8.11</t>
  </si>
  <si>
    <t>Literature</t>
  </si>
  <si>
    <t>1.1.5.8.11.1</t>
  </si>
  <si>
    <t>Add to Cart</t>
  </si>
  <si>
    <t>Part of Literature List</t>
  </si>
  <si>
    <t>1.1.5.8.12</t>
  </si>
  <si>
    <t>1.1.5.8.12.1</t>
  </si>
  <si>
    <t>1.1.5.8.12.2</t>
  </si>
  <si>
    <t>Privacy</t>
  </si>
  <si>
    <t>1.1.5.8.12.3</t>
  </si>
  <si>
    <t>Producer Compensation</t>
  </si>
  <si>
    <t>1.1.6</t>
  </si>
  <si>
    <t xml:space="preserve">College Savings </t>
  </si>
  <si>
    <t>1.1.6.1</t>
  </si>
  <si>
    <t>State Selector Modal</t>
  </si>
  <si>
    <t>1.1.6.2</t>
  </si>
  <si>
    <t>College Savings Landing Page</t>
  </si>
  <si>
    <t>1.1.6.3</t>
  </si>
  <si>
    <t>The Client XYZ Smart529</t>
  </si>
  <si>
    <t>1.1.6.3.1</t>
  </si>
  <si>
    <t>Landing page</t>
  </si>
  <si>
    <t>1.1.6.3.2</t>
  </si>
  <si>
    <t>Investment Options Page</t>
  </si>
  <si>
    <t>1.1.6.3.3</t>
  </si>
  <si>
    <r>
      <t>Fees</t>
    </r>
    <r>
      <rPr>
        <strike/>
        <sz val="8"/>
        <color rgb="FFFF0000"/>
        <rFont val="Arial"/>
        <family val="2"/>
      </rPr>
      <t xml:space="preserve"> </t>
    </r>
    <r>
      <rPr>
        <sz val="8"/>
        <rFont val="Arial"/>
        <family val="2"/>
      </rPr>
      <t>and Expenses Page</t>
    </r>
  </si>
  <si>
    <t>1.1.6.3.4</t>
  </si>
  <si>
    <t>Forms Page</t>
  </si>
  <si>
    <t>1.1.6.3.5</t>
  </si>
  <si>
    <t>Performance and Rates</t>
  </si>
  <si>
    <t>1.1.6.4</t>
  </si>
  <si>
    <t>The CHET Advisor</t>
  </si>
  <si>
    <t>1.1.6.4.1</t>
  </si>
  <si>
    <t>1.1.6.4.2</t>
  </si>
  <si>
    <t>1.1.6.4.3</t>
  </si>
  <si>
    <t>Fees and Expenses Page</t>
  </si>
  <si>
    <t>1.1.6.4.4</t>
  </si>
  <si>
    <t>1.1.6.4.5</t>
  </si>
  <si>
    <t>1.1.6.5</t>
  </si>
  <si>
    <t>Seminars Page (Literature Ctr)</t>
  </si>
  <si>
    <t>1.1.6.6</t>
  </si>
  <si>
    <t>1.1.6.6.1</t>
  </si>
  <si>
    <t>Privacy Policy</t>
  </si>
  <si>
    <t>1.1.6.6.2</t>
  </si>
  <si>
    <t>Legal Notices</t>
  </si>
  <si>
    <t>1.1.6.6.3</t>
  </si>
  <si>
    <t>1.1.7</t>
  </si>
  <si>
    <t>Perspective</t>
  </si>
  <si>
    <t>1.1.7.1</t>
  </si>
  <si>
    <t>Perspective Landing</t>
  </si>
  <si>
    <t>1.1.7.2</t>
  </si>
  <si>
    <t>1.1.7.3</t>
  </si>
  <si>
    <t>Market insights and analysis</t>
  </si>
  <si>
    <t>1.1.7.4</t>
  </si>
  <si>
    <t>Jim Rullo's perspective</t>
  </si>
  <si>
    <t>1.1.7.5</t>
  </si>
  <si>
    <t>1.1.8</t>
  </si>
  <si>
    <t>Our Strategies</t>
  </si>
  <si>
    <t>1.1.9</t>
  </si>
  <si>
    <t>Investor Education</t>
  </si>
  <si>
    <t>1.1.9.1</t>
  </si>
  <si>
    <t>1.1.9.2</t>
  </si>
  <si>
    <t>1.1.10</t>
  </si>
  <si>
    <t>Prospectuses</t>
  </si>
  <si>
    <t>1.1.10.1</t>
  </si>
  <si>
    <t>Prospectuses Page</t>
  </si>
  <si>
    <t>1.1.10.2</t>
  </si>
  <si>
    <t>Prospectuses - HF Interactive Data (XBRL) Page</t>
  </si>
  <si>
    <t>1.1.10.3</t>
  </si>
  <si>
    <t>Request a Prospectus by Email Page</t>
  </si>
  <si>
    <t>1.1.11</t>
  </si>
  <si>
    <t>Ancillary Pages</t>
  </si>
  <si>
    <t>Press Releases</t>
  </si>
  <si>
    <t>1.1.11.3</t>
  </si>
  <si>
    <t>1.1.11.5</t>
  </si>
  <si>
    <t>About Client XYZ Funds</t>
  </si>
  <si>
    <t>1.1.11.6</t>
  </si>
  <si>
    <t>1.1.11.7</t>
  </si>
  <si>
    <t>Logout</t>
  </si>
  <si>
    <t>1.1.11.8</t>
  </si>
  <si>
    <t>1.1.11.9</t>
  </si>
  <si>
    <t>Site Map</t>
  </si>
  <si>
    <t>1.1.11.10</t>
  </si>
  <si>
    <t>1.1.11.11</t>
  </si>
  <si>
    <t>My Preferences Page</t>
  </si>
  <si>
    <t>1.1.11.11.1</t>
  </si>
  <si>
    <t>Communication Types</t>
  </si>
  <si>
    <t>1.1.11.11.2</t>
  </si>
  <si>
    <t>Frequency of Communication</t>
  </si>
  <si>
    <t>1.1.11.11.3</t>
  </si>
  <si>
    <t>Format Preference?</t>
  </si>
  <si>
    <t>1.1.11.11.4</t>
  </si>
  <si>
    <t>Channel Preference?</t>
  </si>
  <si>
    <t>1.1.11.12</t>
  </si>
  <si>
    <t>Appointment Status Page</t>
  </si>
  <si>
    <t>1.1.11.13</t>
  </si>
  <si>
    <t>Sales Ideas Page</t>
  </si>
  <si>
    <t>1.1.11.13.1</t>
  </si>
  <si>
    <t>Link to order client brochure (Literature Ordering Ctr)</t>
  </si>
  <si>
    <t>1.1.11.13.2</t>
  </si>
  <si>
    <t>Link to Contact your wholesaler</t>
  </si>
  <si>
    <t>1.1.11.13.3</t>
  </si>
  <si>
    <t>Link to Order Supporting Materials (Literature Ordering Ctr)</t>
  </si>
  <si>
    <t>1.1.11.13.4</t>
  </si>
  <si>
    <t>Link to Schedule a Seminar (Literature Ordering Ctr)</t>
  </si>
  <si>
    <t>1.1.11.13.5</t>
  </si>
  <si>
    <t>Link to Wellington White Papers</t>
  </si>
  <si>
    <t>1.1.11.13.6</t>
  </si>
  <si>
    <t>Link to Your Wholesaler (Wirehouse) .pdf</t>
  </si>
  <si>
    <t>1.1.11.13.7</t>
  </si>
  <si>
    <t>Link to Your Wholesaler (Non-Wirehouse) .pdf</t>
  </si>
  <si>
    <t>1.1.12</t>
  </si>
  <si>
    <t>1.1.12.1</t>
  </si>
  <si>
    <t>1.1.12.2</t>
  </si>
  <si>
    <t>1.1.12.3</t>
  </si>
  <si>
    <t>1.1.12.4</t>
  </si>
  <si>
    <t xml:space="preserve"> Producer Compensation</t>
  </si>
  <si>
    <t>1.1.12.5</t>
  </si>
  <si>
    <t xml:space="preserve"> Security</t>
  </si>
  <si>
    <t>1.1.13</t>
  </si>
  <si>
    <t>User level personalized view of content</t>
  </si>
  <si>
    <t>TGA_Project_Scope_Online_POS_System</t>
  </si>
  <si>
    <t>Cart Service</t>
  </si>
  <si>
    <t>Order Service</t>
  </si>
  <si>
    <t>Product Service</t>
  </si>
  <si>
    <t>Search Service</t>
  </si>
  <si>
    <t>Inventory Service</t>
  </si>
  <si>
    <t>Admin Service</t>
  </si>
  <si>
    <t>User Service</t>
  </si>
  <si>
    <t>Authetication Auth 0</t>
  </si>
  <si>
    <t>API Gateway KONG</t>
  </si>
  <si>
    <t>Cache Setup Redis/Rocks DB</t>
  </si>
  <si>
    <t xml:space="preserve">Kafka Set up </t>
  </si>
  <si>
    <t>Container and Kubernetes</t>
  </si>
  <si>
    <t>Sonar</t>
  </si>
  <si>
    <t>CI CD Automation</t>
  </si>
  <si>
    <t>Add cart item to order</t>
  </si>
  <si>
    <t>Order Service - Add/ Update item to order</t>
  </si>
  <si>
    <t>Order checkout for payment</t>
  </si>
  <si>
    <t>Define workflow and activities</t>
  </si>
  <si>
    <t>Add update brands</t>
  </si>
  <si>
    <t>Publicis Sapient / Online POS System</t>
  </si>
  <si>
    <t>Order payment Integration</t>
  </si>
  <si>
    <t>Order service will make call payment service with details and order and update the status of payment to user</t>
  </si>
  <si>
    <t>Cart Services - Add update item to cart</t>
  </si>
  <si>
    <t xml:space="preserve">Cart service communicates with order service to add item to order
</t>
  </si>
  <si>
    <t>Update cart item inventory and price for display to user</t>
  </si>
  <si>
    <t>Will communciate with inventory service to update inventory and price</t>
  </si>
  <si>
    <t>Cart service will communicate with Inventory service to display updated inventory and price</t>
  </si>
  <si>
    <t>Product service - Add update category sub category</t>
  </si>
  <si>
    <t>Add update category details from excel provided</t>
  </si>
  <si>
    <t>Add update product details</t>
  </si>
  <si>
    <t>Default sku will be displayed for a product  Image will be stored from file system to s3 storage Image name must be same as skuname or Id</t>
  </si>
  <si>
    <t>Add update product sku</t>
  </si>
  <si>
    <t>get product details by category</t>
  </si>
  <si>
    <t>get product details by brand</t>
  </si>
  <si>
    <t>Add sku location mapping</t>
  </si>
  <si>
    <t xml:space="preserve">update availabilty of sku to inventory service </t>
  </si>
  <si>
    <t xml:space="preserve">Search Service - Global Search </t>
  </si>
  <si>
    <t>Search by Brand</t>
  </si>
  <si>
    <t>Search by  price range</t>
  </si>
  <si>
    <t>Search by  model</t>
  </si>
  <si>
    <t>Add update inventory of sku</t>
  </si>
  <si>
    <t>Get inventory of SKU</t>
  </si>
  <si>
    <t>Inventory Service - add update price of sku - Bulk</t>
  </si>
  <si>
    <t>Get price of sku</t>
  </si>
  <si>
    <t>Inventory report generation</t>
  </si>
  <si>
    <t>Payment Service</t>
  </si>
  <si>
    <t>Payment Service - Make payment for order credit card</t>
  </si>
  <si>
    <t>Make payment from debit card</t>
  </si>
  <si>
    <t>Make payment using internet banking</t>
  </si>
  <si>
    <t>UPI Payment</t>
  </si>
  <si>
    <t>Notification Service - send email notification</t>
  </si>
  <si>
    <t>Send shipment Notification</t>
  </si>
  <si>
    <t>Routing Service - add routing for different services</t>
  </si>
  <si>
    <t>Admin service - make payment validation</t>
  </si>
  <si>
    <t>Sales report for vendors</t>
  </si>
  <si>
    <t>Authentication using auth 0</t>
  </si>
  <si>
    <t>Production Infra</t>
  </si>
  <si>
    <t>QA infra set up</t>
  </si>
  <si>
    <t>User Services - Register User</t>
  </si>
  <si>
    <t xml:space="preserve">User will register using mobile no as unique identifier and add basic details OTP will be sent to his mobile no for verification. For now 1234 will be default verification code
</t>
  </si>
  <si>
    <t xml:space="preserve">Login using mobile no/ email and password
</t>
  </si>
  <si>
    <t>Add update address</t>
  </si>
  <si>
    <t xml:space="preserve">User can add multiple address by entering details and select preffered address for delivery
</t>
  </si>
  <si>
    <t xml:space="preserve">
</t>
  </si>
  <si>
    <t>Check seller delivering to location from Product service - Out of scope- Location is out of scope for this need to select order from offline store</t>
  </si>
  <si>
    <t>Brands will be mapped to prodcut</t>
  </si>
  <si>
    <t>add update product details from excel document</t>
  </si>
  <si>
    <t>Select address  for delivery</t>
  </si>
  <si>
    <t>Out of scope as it can select item from offline store</t>
  </si>
  <si>
    <t>Out of scope</t>
  </si>
  <si>
    <t xml:space="preserve">get product details for one </t>
  </si>
  <si>
    <t>it will be updated from excel sheet provided by vendor on regular intervals</t>
  </si>
  <si>
    <t>Inventory will be updated on order placed and cancelled</t>
  </si>
  <si>
    <t>bulk api for updating  Mutliple sku price can be updated from vendor sheet</t>
  </si>
  <si>
    <t>Price will be fetched while placing order</t>
  </si>
  <si>
    <t xml:space="preserve">For the admin for a day </t>
  </si>
  <si>
    <t xml:space="preserve">bulk api for updating  Mutliple sku counts can be updated from vendor sheet </t>
  </si>
  <si>
    <t>Will be done using dummy api</t>
  </si>
  <si>
    <t>Payment detials will be updated in Payment DB and corresponding order DB</t>
  </si>
  <si>
    <t>Admin can validate the payment once done from API if rehjected will be updated in Payment DB and order DB and Order will be put on hold for repayment</t>
  </si>
  <si>
    <t>Create a generic api for notification using dummy services</t>
  </si>
  <si>
    <t>send sms notification</t>
  </si>
  <si>
    <t>Shipment service - Send shipment using third party api</t>
  </si>
  <si>
    <t>Will assign the order to third party for delivery</t>
  </si>
  <si>
    <t>Live order tracking for shipment</t>
  </si>
  <si>
    <t>We will map services url to name in router service and request will be redirected based on header name and urls, all the services will not be exposed to end users</t>
  </si>
  <si>
    <t>If payment is rehected from admin then that order will be put on hold for repayment TAT -TBD</t>
  </si>
  <si>
    <t>Daily sales report for vendore using batch jobs</t>
  </si>
  <si>
    <t>All users will be authenticated from api gateway before accessing the services</t>
  </si>
  <si>
    <t xml:space="preserve">Authentication logic will be added </t>
  </si>
  <si>
    <t>Prefferd address for delivery</t>
  </si>
  <si>
    <t>Set up for Automation testing</t>
  </si>
  <si>
    <t>Notification Service</t>
  </si>
  <si>
    <t>Shipment Service</t>
  </si>
  <si>
    <t>Routing Service</t>
  </si>
  <si>
    <t>MySQL DB/ Couch DB Set up</t>
  </si>
  <si>
    <t>Sonar for code coverage</t>
  </si>
  <si>
    <t>Performance and NFR set up (Replica, failover, scalable)</t>
  </si>
  <si>
    <t>Graph DB setp</t>
  </si>
  <si>
    <t>Cassandra Set up</t>
  </si>
  <si>
    <t>To store user journey - Out of scope</t>
  </si>
  <si>
    <r>
      <rPr>
        <b/>
        <sz val="10"/>
        <color rgb="FF00B050"/>
        <rFont val="Calibri"/>
        <family val="2"/>
        <scheme val="minor"/>
      </rPr>
      <t>For archival of data</t>
    </r>
    <r>
      <rPr>
        <b/>
        <sz val="10"/>
        <color rgb="FFFF0000"/>
        <rFont val="Calibri"/>
        <family val="2"/>
        <scheme val="minor"/>
      </rPr>
      <t xml:space="preserve"> To be used in analytics and report - Out of scope</t>
    </r>
  </si>
  <si>
    <t>Login user</t>
  </si>
  <si>
    <t>Order payment Integration - Complex</t>
  </si>
  <si>
    <t>Add update address - Medium</t>
  </si>
  <si>
    <t>Add cart item to order -Low</t>
  </si>
  <si>
    <t>update price of SKU to inventory service</t>
  </si>
  <si>
    <t>Price of sku will be updated drom sheet provided by vendor from product service to inventory service</t>
  </si>
  <si>
    <t>Search by  rating</t>
  </si>
  <si>
    <t>Search by category sub category</t>
  </si>
  <si>
    <t>Save payment details and update order</t>
  </si>
  <si>
    <t>Send payment details to admin for validation</t>
  </si>
  <si>
    <t>Anyone from this TBD</t>
  </si>
  <si>
    <t>Container and Kubernetes set up</t>
  </si>
  <si>
    <t>201818 - 194773</t>
  </si>
  <si>
    <t>Monitoring  and logging</t>
  </si>
  <si>
    <t>Monitoring and logging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</si>
</sst>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dd\-mmm\-yyyy"/>
    <numFmt numFmtId="165" formatCode="_([$€]* #,##0.00_);_([$€]* \(#,##0.00\);_([$€]* &quot;-&quot;??_);_(@_)"/>
    <numFmt numFmtId="166" formatCode="[$-809]dd\-mmm\-yy;@"/>
    <numFmt numFmtId="167" formatCode="0.0"/>
  </numFmts>
  <fonts count="43">
    <font>
      <sz val="12"/>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10"/>
      <name val="Arial"/>
      <family val="2"/>
    </font>
    <font>
      <b/>
      <sz val="10"/>
      <name val="Arial"/>
      <family val="2"/>
    </font>
    <font>
      <sz val="8"/>
      <name val="SapientSansRegular"/>
    </font>
    <font>
      <b/>
      <sz val="10"/>
      <color theme="1"/>
      <name val="Calibri"/>
      <family val="2"/>
      <scheme val="minor"/>
    </font>
    <font>
      <sz val="10"/>
      <color theme="1"/>
      <name val="Calibri"/>
      <family val="2"/>
      <scheme val="minor"/>
    </font>
    <font>
      <b/>
      <sz val="16"/>
      <color rgb="FFFF0000"/>
      <name val="Calibri"/>
      <family val="2"/>
      <scheme val="minor"/>
    </font>
    <font>
      <b/>
      <sz val="12"/>
      <color theme="1"/>
      <name val="Calibri"/>
      <family val="2"/>
      <scheme val="minor"/>
    </font>
    <font>
      <b/>
      <sz val="12"/>
      <color rgb="FFFF0000"/>
      <name val="Calibri"/>
      <family val="2"/>
      <scheme val="minor"/>
    </font>
    <font>
      <sz val="8"/>
      <color indexed="81"/>
      <name val="Tahoma"/>
      <family val="2"/>
    </font>
    <font>
      <i/>
      <sz val="10"/>
      <color theme="1"/>
      <name val="Calibri"/>
      <family val="2"/>
      <scheme val="minor"/>
    </font>
    <font>
      <sz val="8"/>
      <color theme="1"/>
      <name val="Calibri"/>
      <family val="2"/>
      <scheme val="minor"/>
    </font>
    <font>
      <b/>
      <i/>
      <sz val="8"/>
      <color theme="0" tint="-4.9989318521683403E-2"/>
      <name val="Calibri"/>
      <family val="2"/>
      <scheme val="minor"/>
    </font>
    <font>
      <b/>
      <sz val="8"/>
      <color theme="1"/>
      <name val="Calibri"/>
      <family val="2"/>
      <scheme val="minor"/>
    </font>
    <font>
      <b/>
      <sz val="18"/>
      <color theme="1"/>
      <name val="Calibri"/>
      <family val="2"/>
      <scheme val="minor"/>
    </font>
    <font>
      <sz val="9"/>
      <name val="Arial"/>
      <family val="2"/>
    </font>
    <font>
      <b/>
      <sz val="9"/>
      <name val="Arial"/>
      <family val="2"/>
    </font>
    <font>
      <b/>
      <sz val="16"/>
      <color theme="1"/>
      <name val="Calibri"/>
      <family val="2"/>
      <scheme val="minor"/>
    </font>
    <font>
      <sz val="11"/>
      <name val="Arial"/>
      <family val="2"/>
    </font>
    <font>
      <sz val="8"/>
      <name val="Arial"/>
      <family val="2"/>
    </font>
    <font>
      <strike/>
      <sz val="8"/>
      <color rgb="FFFF0000"/>
      <name val="Arial"/>
      <family val="2"/>
    </font>
    <font>
      <b/>
      <sz val="8"/>
      <color indexed="81"/>
      <name val="Tahoma"/>
      <family val="2"/>
    </font>
    <font>
      <b/>
      <sz val="11"/>
      <color rgb="FFFFFFFF"/>
      <name val="Times New Roman"/>
      <family val="1"/>
    </font>
    <font>
      <sz val="11"/>
      <color rgb="FF000000"/>
      <name val="Calibri"/>
      <family val="2"/>
    </font>
    <font>
      <sz val="12"/>
      <color theme="1"/>
      <name val="Calibri"/>
      <family val="2"/>
      <scheme val="minor"/>
    </font>
    <font>
      <sz val="12"/>
      <color rgb="FF000000"/>
      <name val="Calibri"/>
      <family val="2"/>
    </font>
    <font>
      <sz val="11"/>
      <color rgb="FFFF0000"/>
      <name val="Calibri"/>
      <family val="2"/>
      <scheme val="minor"/>
    </font>
    <font>
      <b/>
      <sz val="11"/>
      <color theme="1"/>
      <name val="Calibri"/>
      <family val="2"/>
      <scheme val="minor"/>
    </font>
    <font>
      <sz val="10"/>
      <color rgb="FFFF0000"/>
      <name val="Calibri"/>
      <family val="2"/>
      <scheme val="minor"/>
    </font>
    <font>
      <b/>
      <sz val="10"/>
      <color rgb="FFFF0000"/>
      <name val="Calibri"/>
      <family val="2"/>
      <scheme val="minor"/>
    </font>
    <font>
      <b/>
      <sz val="10"/>
      <color rgb="FF00B050"/>
      <name val="Calibri"/>
      <family val="2"/>
      <scheme val="minor"/>
    </font>
    <font>
      <sz val="12"/>
      <color rgb="FFFF0000"/>
      <name val="Calibri"/>
      <family val="2"/>
      <scheme val="minor"/>
    </font>
    <font>
      <sz val="10"/>
      <name val="Calibri"/>
      <family val="2"/>
      <scheme val="minor"/>
    </font>
    <font>
      <sz val="12"/>
      <name val="Calibri"/>
      <family val="2"/>
      <scheme val="minor"/>
    </font>
    <font>
      <b/>
      <sz val="12"/>
      <name val="Calibri"/>
      <family val="2"/>
      <scheme val="minor"/>
    </font>
    <font>
      <sz val="11"/>
      <name val="Calibri"/>
      <family val="2"/>
      <scheme val="minor"/>
    </font>
    <font>
      <b/>
      <sz val="11"/>
      <name val="Calibri"/>
      <family val="2"/>
      <scheme val="minor"/>
    </font>
    <font>
      <sz val="8"/>
      <name val="Calibri"/>
      <family val="2"/>
      <scheme val="minor"/>
    </font>
    <font>
      <b/>
      <sz val="10"/>
      <color rgb="FF333333"/>
      <name val="Calibri"/>
      <family val="2"/>
      <scheme val="minor"/>
    </font>
  </fonts>
  <fills count="29">
    <fill>
      <patternFill patternType="none"/>
    </fill>
    <fill>
      <patternFill patternType="gray125"/>
    </fill>
    <fill>
      <patternFill patternType="solid">
        <fgColor indexed="9"/>
        <bgColor indexed="64"/>
      </patternFill>
    </fill>
    <fill>
      <patternFill patternType="solid">
        <fgColor indexed="25"/>
        <bgColor indexed="64"/>
      </patternFill>
    </fill>
    <fill>
      <patternFill patternType="solid">
        <fgColor rgb="FF9EB49E"/>
        <bgColor indexed="64"/>
      </patternFill>
    </fill>
    <fill>
      <patternFill patternType="solid">
        <fgColor rgb="FFC0C0C0"/>
        <bgColor indexed="64"/>
      </patternFill>
    </fill>
    <fill>
      <patternFill patternType="solid">
        <fgColor rgb="FFCFE2CE"/>
        <bgColor indexed="64"/>
      </patternFill>
    </fill>
    <fill>
      <patternFill patternType="solid">
        <fgColor rgb="FFFFFF99"/>
        <bgColor indexed="64"/>
      </patternFill>
    </fill>
    <fill>
      <patternFill patternType="solid">
        <fgColor rgb="FFFF0000"/>
        <bgColor indexed="64"/>
      </patternFill>
    </fill>
    <fill>
      <patternFill patternType="solid">
        <fgColor rgb="FFFFCC00"/>
        <bgColor indexed="64"/>
      </patternFill>
    </fill>
    <fill>
      <patternFill patternType="solid">
        <fgColor rgb="FFFF6600"/>
        <bgColor indexed="64"/>
      </patternFill>
    </fill>
    <fill>
      <patternFill patternType="solid">
        <fgColor rgb="FF00FF00"/>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rgb="FF953735"/>
        <bgColor indexed="64"/>
      </patternFill>
    </fill>
    <fill>
      <patternFill patternType="solid">
        <fgColor rgb="FF00B0F0"/>
        <bgColor indexed="64"/>
      </patternFill>
    </fill>
    <fill>
      <patternFill patternType="solid">
        <fgColor indexed="41"/>
        <bgColor indexed="64"/>
      </patternFill>
    </fill>
    <fill>
      <patternFill patternType="solid">
        <fgColor rgb="FFFFC000"/>
        <bgColor indexed="64"/>
      </patternFill>
    </fill>
  </fills>
  <borders count="143">
    <border>
      <left/>
      <right/>
      <top/>
      <bottom/>
      <diagonal/>
    </border>
    <border>
      <left/>
      <right/>
      <top style="hair">
        <color indexed="22"/>
      </top>
      <bottom style="hair">
        <color indexed="22"/>
      </bottom>
      <diagonal/>
    </border>
    <border>
      <left style="thin">
        <color indexed="26"/>
      </left>
      <right style="thin">
        <color indexed="26"/>
      </right>
      <top style="thin">
        <color indexed="26"/>
      </top>
      <bottom style="thin">
        <color indexed="26"/>
      </bottom>
      <diagonal/>
    </border>
    <border>
      <left style="thin">
        <color indexed="26"/>
      </left>
      <right style="thin">
        <color indexed="26"/>
      </right>
      <top style="thin">
        <color indexed="64"/>
      </top>
      <bottom style="thin">
        <color indexed="10"/>
      </bottom>
      <diagonal/>
    </border>
    <border>
      <left style="thin">
        <color indexed="64"/>
      </left>
      <right style="thin">
        <color rgb="FFFF0000"/>
      </right>
      <top style="thin">
        <color indexed="64"/>
      </top>
      <bottom style="thin">
        <color rgb="FFCCFFFF"/>
      </bottom>
      <diagonal/>
    </border>
    <border>
      <left style="thin">
        <color rgb="FFFF0000"/>
      </left>
      <right style="thin">
        <color indexed="64"/>
      </right>
      <top style="thin">
        <color indexed="64"/>
      </top>
      <bottom style="thin">
        <color rgb="FFCCFFFF"/>
      </bottom>
      <diagonal/>
    </border>
    <border>
      <left style="thin">
        <color indexed="64"/>
      </left>
      <right style="thin">
        <color rgb="FFFF0000"/>
      </right>
      <top style="thin">
        <color rgb="FFCCFFFF"/>
      </top>
      <bottom style="thin">
        <color rgb="FFCCFFFF"/>
      </bottom>
      <diagonal/>
    </border>
    <border>
      <left style="thin">
        <color rgb="FFFF0000"/>
      </left>
      <right style="thin">
        <color indexed="64"/>
      </right>
      <top style="thin">
        <color rgb="FFCCFFFF"/>
      </top>
      <bottom style="thin">
        <color rgb="FFCCFFFF"/>
      </bottom>
      <diagonal/>
    </border>
    <border>
      <left style="thin">
        <color indexed="64"/>
      </left>
      <right style="thin">
        <color rgb="FFFF0000"/>
      </right>
      <top style="thin">
        <color rgb="FFCCFFFF"/>
      </top>
      <bottom style="thin">
        <color indexed="64"/>
      </bottom>
      <diagonal/>
    </border>
    <border>
      <left style="thin">
        <color rgb="FFFF0000"/>
      </left>
      <right style="thin">
        <color indexed="64"/>
      </right>
      <top style="thin">
        <color rgb="FFCCFFFF"/>
      </top>
      <bottom style="thin">
        <color indexed="64"/>
      </bottom>
      <diagonal/>
    </border>
    <border>
      <left style="thin">
        <color auto="1"/>
      </left>
      <right style="thin">
        <color rgb="FFFF0000"/>
      </right>
      <top style="thin">
        <color rgb="FFCCFFFF"/>
      </top>
      <bottom/>
      <diagonal/>
    </border>
    <border>
      <left style="thin">
        <color auto="1"/>
      </left>
      <right style="thin">
        <color auto="1"/>
      </right>
      <top style="thin">
        <color rgb="FFCCFFFF"/>
      </top>
      <bottom style="thin">
        <color rgb="FFCCFFFF"/>
      </bottom>
      <diagonal/>
    </border>
    <border>
      <left style="thin">
        <color auto="1"/>
      </left>
      <right style="thin">
        <color auto="1"/>
      </right>
      <top style="thin">
        <color rgb="FFCCFFFF"/>
      </top>
      <bottom style="thin">
        <color auto="1"/>
      </bottom>
      <diagonal/>
    </border>
    <border>
      <left style="thin">
        <color rgb="FFCCFFFF"/>
      </left>
      <right style="thin">
        <color rgb="FFCCFFFF"/>
      </right>
      <top style="thin">
        <color indexed="64"/>
      </top>
      <bottom style="thin">
        <color rgb="FFFF0000"/>
      </bottom>
      <diagonal/>
    </border>
    <border>
      <left style="thin">
        <color rgb="FFCCFFFF"/>
      </left>
      <right style="thin">
        <color indexed="64"/>
      </right>
      <top style="thin">
        <color indexed="64"/>
      </top>
      <bottom style="thin">
        <color rgb="FFFF0000"/>
      </bottom>
      <diagonal/>
    </border>
    <border>
      <left/>
      <right style="thin">
        <color rgb="FFCCFFFF"/>
      </right>
      <top style="thin">
        <color indexed="64"/>
      </top>
      <bottom style="thin">
        <color rgb="FFFF0000"/>
      </bottom>
      <diagonal/>
    </border>
    <border>
      <left style="thin">
        <color indexed="64"/>
      </left>
      <right/>
      <top style="thin">
        <color indexed="64"/>
      </top>
      <bottom style="thin">
        <color rgb="FFFF0000"/>
      </bottom>
      <diagonal/>
    </border>
    <border>
      <left style="thin">
        <color rgb="FFCCFFFF"/>
      </left>
      <right style="thin">
        <color rgb="FFCCFFFF"/>
      </right>
      <top style="thin">
        <color rgb="FFFF0000"/>
      </top>
      <bottom style="thin">
        <color rgb="FFCCFFFF"/>
      </bottom>
      <diagonal/>
    </border>
    <border>
      <left style="thin">
        <color rgb="FFCCFFFF"/>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indexed="64"/>
      </bottom>
      <diagonal/>
    </border>
    <border>
      <left style="thin">
        <color rgb="FFFF0000"/>
      </left>
      <right/>
      <top style="thin">
        <color rgb="FFFF0000"/>
      </top>
      <bottom style="thin">
        <color rgb="FFCCFFFF"/>
      </bottom>
      <diagonal/>
    </border>
    <border>
      <left/>
      <right style="thin">
        <color rgb="FFCCFFFF"/>
      </right>
      <top style="thin">
        <color rgb="FFFF0000"/>
      </top>
      <bottom style="thin">
        <color rgb="FFCCFFFF"/>
      </bottom>
      <diagonal/>
    </border>
    <border>
      <left style="thin">
        <color rgb="FFFF0000"/>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FF0000"/>
      </left>
      <right/>
      <top style="thin">
        <color rgb="FFCCFFFF"/>
      </top>
      <bottom style="thin">
        <color indexed="64"/>
      </bottom>
      <diagonal/>
    </border>
    <border>
      <left/>
      <right style="thin">
        <color rgb="FFCCFFFF"/>
      </right>
      <top style="thin">
        <color rgb="FFCCFFFF"/>
      </top>
      <bottom style="thin">
        <color indexed="64"/>
      </bottom>
      <diagonal/>
    </border>
    <border>
      <left style="thin">
        <color rgb="FFCCFFFF"/>
      </left>
      <right style="thin">
        <color indexed="64"/>
      </right>
      <top style="thin">
        <color rgb="FFFF0000"/>
      </top>
      <bottom/>
      <diagonal/>
    </border>
    <border>
      <left style="thin">
        <color rgb="FFCCFFFF"/>
      </left>
      <right style="thin">
        <color indexed="64"/>
      </right>
      <top/>
      <bottom/>
      <diagonal/>
    </border>
    <border>
      <left style="thin">
        <color rgb="FFCCFFFF"/>
      </left>
      <right style="thin">
        <color indexed="64"/>
      </right>
      <top/>
      <bottom style="thin">
        <color indexed="64"/>
      </bottom>
      <diagonal/>
    </border>
    <border>
      <left style="thin">
        <color indexed="64"/>
      </left>
      <right/>
      <top style="thin">
        <color rgb="FFFF0000"/>
      </top>
      <bottom/>
      <diagonal/>
    </border>
    <border>
      <left/>
      <right/>
      <top style="thin">
        <color rgb="FFFF0000"/>
      </top>
      <bottom/>
      <diagonal/>
    </border>
    <border>
      <left/>
      <right style="thin">
        <color rgb="FFCCFFFF"/>
      </right>
      <top style="thin">
        <color rgb="FFFF0000"/>
      </top>
      <bottom/>
      <diagonal/>
    </border>
    <border>
      <left style="thin">
        <color rgb="FFCCFFFF"/>
      </left>
      <right style="thin">
        <color rgb="FFCCFFFF"/>
      </right>
      <top style="thin">
        <color rgb="FFFF0000"/>
      </top>
      <bottom/>
      <diagonal/>
    </border>
    <border>
      <left style="thin">
        <color auto="1"/>
      </left>
      <right style="thin">
        <color rgb="FFCCFFFF"/>
      </right>
      <top style="thin">
        <color rgb="FFFF0000"/>
      </top>
      <bottom style="thin">
        <color rgb="FFCCFFFF"/>
      </bottom>
      <diagonal/>
    </border>
    <border>
      <left style="thin">
        <color rgb="FFCCFFFF"/>
      </left>
      <right style="thin">
        <color auto="1"/>
      </right>
      <top style="thin">
        <color rgb="FFFF0000"/>
      </top>
      <bottom style="thin">
        <color rgb="FFCCFFFF"/>
      </bottom>
      <diagonal/>
    </border>
    <border>
      <left style="thin">
        <color auto="1"/>
      </left>
      <right style="thin">
        <color rgb="FFCCFFFF"/>
      </right>
      <top style="thin">
        <color rgb="FFCCFFFF"/>
      </top>
      <bottom/>
      <diagonal/>
    </border>
    <border>
      <left style="thin">
        <color rgb="FFCCFFFF"/>
      </left>
      <right style="thin">
        <color rgb="FFCCFFFF"/>
      </right>
      <top style="thin">
        <color rgb="FFCCFFFF"/>
      </top>
      <bottom/>
      <diagonal/>
    </border>
    <border>
      <left style="thin">
        <color rgb="FFCCFFFF"/>
      </left>
      <right style="thin">
        <color auto="1"/>
      </right>
      <top style="thin">
        <color rgb="FFCCFFFF"/>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rgb="FFCCFFFF"/>
      </right>
      <top style="thin">
        <color rgb="FFCCFFFF"/>
      </top>
      <bottom style="thin">
        <color rgb="FFCCFFFF"/>
      </bottom>
      <diagonal/>
    </border>
    <border>
      <left style="thin">
        <color rgb="FFCCFFFF"/>
      </left>
      <right style="thin">
        <color indexed="64"/>
      </right>
      <top style="thin">
        <color rgb="FFCCFFFF"/>
      </top>
      <bottom style="thin">
        <color rgb="FFCCFFFF"/>
      </bottom>
      <diagonal/>
    </border>
    <border>
      <left style="thin">
        <color rgb="FFCCFFFF"/>
      </left>
      <right/>
      <top style="thin">
        <color indexed="64"/>
      </top>
      <bottom style="thin">
        <color rgb="FFFF0000"/>
      </bottom>
      <diagonal/>
    </border>
    <border>
      <left/>
      <right style="thin">
        <color auto="1"/>
      </right>
      <top style="thin">
        <color auto="1"/>
      </top>
      <bottom style="thin">
        <color rgb="FFFF0000"/>
      </bottom>
      <diagonal/>
    </border>
    <border>
      <left style="thin">
        <color indexed="64"/>
      </left>
      <right style="thin">
        <color rgb="FFCCFFFF"/>
      </right>
      <top style="thin">
        <color rgb="FFCCFFFF"/>
      </top>
      <bottom style="thin">
        <color auto="1"/>
      </bottom>
      <diagonal/>
    </border>
    <border>
      <left style="thin">
        <color rgb="FFCCFFFF"/>
      </left>
      <right style="thin">
        <color auto="1"/>
      </right>
      <top style="thin">
        <color rgb="FFCCFFFF"/>
      </top>
      <bottom style="thin">
        <color auto="1"/>
      </bottom>
      <diagonal/>
    </border>
    <border>
      <left style="thin">
        <color rgb="FFCCFFFF"/>
      </left>
      <right/>
      <top style="thin">
        <color rgb="FFFF0000"/>
      </top>
      <bottom style="thin">
        <color rgb="FFCCFFFF"/>
      </bottom>
      <diagonal/>
    </border>
    <border>
      <left style="thin">
        <color rgb="FFCCFFFF"/>
      </left>
      <right/>
      <top style="thin">
        <color rgb="FFCCFFFF"/>
      </top>
      <bottom/>
      <diagonal/>
    </border>
    <border>
      <left style="thin">
        <color rgb="FFCCFFFF"/>
      </left>
      <right/>
      <top style="thin">
        <color rgb="FFCCFFFF"/>
      </top>
      <bottom style="thin">
        <color rgb="FFCCFFFF"/>
      </bottom>
      <diagonal/>
    </border>
    <border>
      <left style="thin">
        <color indexed="64"/>
      </left>
      <right/>
      <top/>
      <bottom/>
      <diagonal/>
    </border>
    <border>
      <left style="thin">
        <color rgb="FFCCFFFF"/>
      </left>
      <right style="thin">
        <color rgb="FFCCFFFF"/>
      </right>
      <top/>
      <bottom/>
      <diagonal/>
    </border>
    <border>
      <left style="thin">
        <color rgb="FFCCFFFF"/>
      </left>
      <right/>
      <top/>
      <bottom/>
      <diagonal/>
    </border>
    <border>
      <left style="thin">
        <color indexed="64"/>
      </left>
      <right/>
      <top style="thin">
        <color indexed="64"/>
      </top>
      <bottom/>
      <diagonal/>
    </border>
    <border>
      <left/>
      <right/>
      <top style="thin">
        <color indexed="64"/>
      </top>
      <bottom style="thin">
        <color rgb="FFFF0000"/>
      </bottom>
      <diagonal/>
    </border>
    <border>
      <left style="thin">
        <color rgb="FFCCFFFF"/>
      </left>
      <right/>
      <top style="thin">
        <color rgb="FFFF0000"/>
      </top>
      <bottom/>
      <diagonal/>
    </border>
    <border>
      <left style="thin">
        <color rgb="FFCCFFFF"/>
      </left>
      <right style="thin">
        <color rgb="FFCCFFFF"/>
      </right>
      <top style="thin">
        <color indexed="64"/>
      </top>
      <bottom style="thin">
        <color indexed="64"/>
      </bottom>
      <diagonal/>
    </border>
    <border>
      <left style="thin">
        <color rgb="FFCCFFFF"/>
      </left>
      <right style="thin">
        <color indexed="64"/>
      </right>
      <top style="thin">
        <color indexed="64"/>
      </top>
      <bottom style="thin">
        <color indexed="64"/>
      </bottom>
      <diagonal/>
    </border>
    <border>
      <left style="thin">
        <color indexed="64"/>
      </left>
      <right/>
      <top/>
      <bottom style="thin">
        <color rgb="FFFF0000"/>
      </bottom>
      <diagonal/>
    </border>
    <border>
      <left style="thin">
        <color rgb="FFCCFFFF"/>
      </left>
      <right style="thin">
        <color rgb="FFCCFFFF"/>
      </right>
      <top/>
      <bottom style="thin">
        <color rgb="FFFF0000"/>
      </bottom>
      <diagonal/>
    </border>
    <border>
      <left style="thin">
        <color rgb="FFCCFFFF"/>
      </left>
      <right/>
      <top/>
      <bottom style="thin">
        <color rgb="FFFF0000"/>
      </bottom>
      <diagonal/>
    </border>
    <border>
      <left style="thin">
        <color rgb="FFCCFFFF"/>
      </left>
      <right style="thin">
        <color indexed="64"/>
      </right>
      <top/>
      <bottom style="thin">
        <color rgb="FFFF0000"/>
      </bottom>
      <diagonal/>
    </border>
    <border>
      <left style="thin">
        <color rgb="FFFF0000"/>
      </left>
      <right style="thin">
        <color rgb="FFCCFFFF"/>
      </right>
      <top style="thin">
        <color indexed="64"/>
      </top>
      <bottom style="thin">
        <color rgb="FFCCFFFF"/>
      </bottom>
      <diagonal/>
    </border>
    <border>
      <left style="thin">
        <color rgb="FFCCFFFF"/>
      </left>
      <right style="thin">
        <color indexed="64"/>
      </right>
      <top style="thin">
        <color indexed="64"/>
      </top>
      <bottom style="thin">
        <color rgb="FFCCFFFF"/>
      </bottom>
      <diagonal/>
    </border>
    <border>
      <left style="thin">
        <color rgb="FFFF0000"/>
      </left>
      <right style="thin">
        <color rgb="FFCCFFFF"/>
      </right>
      <top style="thin">
        <color rgb="FFCCFFFF"/>
      </top>
      <bottom style="thin">
        <color rgb="FFCCFFFF"/>
      </bottom>
      <diagonal/>
    </border>
    <border>
      <left style="thin">
        <color rgb="FFFF0000"/>
      </left>
      <right style="thin">
        <color rgb="FFCCFFFF"/>
      </right>
      <top style="thin">
        <color rgb="FFCCFFFF"/>
      </top>
      <bottom style="thin">
        <color indexed="64"/>
      </bottom>
      <diagonal/>
    </border>
    <border>
      <left style="thin">
        <color auto="1"/>
      </left>
      <right/>
      <top style="thin">
        <color rgb="FFFF0000"/>
      </top>
      <bottom style="thin">
        <color rgb="FFFF0000"/>
      </bottom>
      <diagonal/>
    </border>
    <border>
      <left/>
      <right/>
      <top style="thin">
        <color rgb="FFFF0000"/>
      </top>
      <bottom style="thin">
        <color rgb="FFFF0000"/>
      </bottom>
      <diagonal/>
    </border>
    <border>
      <left/>
      <right style="thin">
        <color auto="1"/>
      </right>
      <top style="thin">
        <color rgb="FFFF0000"/>
      </top>
      <bottom style="thin">
        <color rgb="FFFF0000"/>
      </bottom>
      <diagonal/>
    </border>
    <border>
      <left style="thin">
        <color rgb="FFCCFFFF"/>
      </left>
      <right/>
      <top style="thin">
        <color indexed="64"/>
      </top>
      <bottom style="thin">
        <color rgb="FFCCFFFF"/>
      </bottom>
      <diagonal/>
    </border>
    <border>
      <left/>
      <right style="thin">
        <color rgb="FFCCFFFF"/>
      </right>
      <top/>
      <bottom/>
      <diagonal/>
    </border>
    <border>
      <left/>
      <right style="thin">
        <color rgb="FFCCFFFF"/>
      </right>
      <top style="thin">
        <color rgb="FFCCFFFF"/>
      </top>
      <bottom/>
      <diagonal/>
    </border>
    <border>
      <left style="thin">
        <color auto="1"/>
      </left>
      <right/>
      <top style="thin">
        <color rgb="FFCCFFFF"/>
      </top>
      <bottom/>
      <diagonal/>
    </border>
    <border>
      <left style="thin">
        <color indexed="64"/>
      </left>
      <right style="thin">
        <color rgb="FFFF0000"/>
      </right>
      <top/>
      <bottom/>
      <diagonal/>
    </border>
    <border>
      <left style="thin">
        <color indexed="64"/>
      </left>
      <right style="thin">
        <color rgb="FFFF0000"/>
      </right>
      <top style="thin">
        <color indexed="64"/>
      </top>
      <bottom/>
      <diagonal/>
    </border>
    <border>
      <left style="thin">
        <color auto="1"/>
      </left>
      <right style="thin">
        <color rgb="FFFF0000"/>
      </right>
      <top/>
      <bottom style="thin">
        <color auto="1"/>
      </bottom>
      <diagonal/>
    </border>
    <border>
      <left style="thin">
        <color auto="1"/>
      </left>
      <right style="thin">
        <color rgb="FFFF0000"/>
      </right>
      <top style="thin">
        <color auto="1"/>
      </top>
      <bottom style="thin">
        <color auto="1"/>
      </bottom>
      <diagonal/>
    </border>
    <border>
      <left style="thin">
        <color indexed="64"/>
      </left>
      <right style="thin">
        <color rgb="FFCCFFFF"/>
      </right>
      <top style="thin">
        <color indexed="64"/>
      </top>
      <bottom style="thin">
        <color rgb="FFCCFFFF"/>
      </bottom>
      <diagonal/>
    </border>
    <border>
      <left style="thin">
        <color rgb="FFFF0000"/>
      </left>
      <right style="thin">
        <color auto="1"/>
      </right>
      <top/>
      <bottom style="thin">
        <color rgb="FFCCFFFF"/>
      </bottom>
      <diagonal/>
    </border>
    <border>
      <left style="thin">
        <color rgb="FFFF0000"/>
      </left>
      <right style="thin">
        <color rgb="FFCCFFFF"/>
      </right>
      <top/>
      <bottom style="thin">
        <color auto="1"/>
      </bottom>
      <diagonal/>
    </border>
    <border>
      <left style="thin">
        <color rgb="FFCCFFFF"/>
      </left>
      <right style="thin">
        <color rgb="FFCCFFFF"/>
      </right>
      <top style="thin">
        <color auto="1"/>
      </top>
      <bottom style="thin">
        <color rgb="FFCCFFFF"/>
      </bottom>
      <diagonal/>
    </border>
    <border>
      <left style="thin">
        <color indexed="64"/>
      </left>
      <right/>
      <top style="thin">
        <color indexed="64"/>
      </top>
      <bottom style="thin">
        <color rgb="FFCCFFFF"/>
      </bottom>
      <diagonal/>
    </border>
    <border>
      <left/>
      <right style="thin">
        <color rgb="FFFF0000"/>
      </right>
      <top style="thin">
        <color indexed="64"/>
      </top>
      <bottom style="thin">
        <color rgb="FFCCFFFF"/>
      </bottom>
      <diagonal/>
    </border>
    <border>
      <left style="thin">
        <color indexed="64"/>
      </left>
      <right/>
      <top style="thin">
        <color rgb="FFCCFFFF"/>
      </top>
      <bottom style="thin">
        <color rgb="FFCCFFFF"/>
      </bottom>
      <diagonal/>
    </border>
    <border>
      <left style="thin">
        <color indexed="64"/>
      </left>
      <right/>
      <top style="thin">
        <color rgb="FFCCFFFF"/>
      </top>
      <bottom style="thin">
        <color indexed="64"/>
      </bottom>
      <diagonal/>
    </border>
    <border>
      <left/>
      <right style="thin">
        <color rgb="FFFF0000"/>
      </right>
      <top style="thin">
        <color rgb="FFCCFFFF"/>
      </top>
      <bottom style="thin">
        <color rgb="FFCCFFFF"/>
      </bottom>
      <diagonal/>
    </border>
    <border>
      <left/>
      <right style="thin">
        <color rgb="FFFF0000"/>
      </right>
      <top style="thin">
        <color rgb="FFCCFFFF"/>
      </top>
      <bottom/>
      <diagonal/>
    </border>
    <border>
      <left/>
      <right style="thin">
        <color rgb="FFFF0000"/>
      </right>
      <top style="thin">
        <color rgb="FFCCFFFF"/>
      </top>
      <bottom style="thin">
        <color indexed="64"/>
      </bottom>
      <diagonal/>
    </border>
    <border>
      <left style="thin">
        <color rgb="FFCCFFFF"/>
      </left>
      <right style="thin">
        <color rgb="FFCCFFFF"/>
      </right>
      <top style="thin">
        <color rgb="FFCCFFFF"/>
      </top>
      <bottom style="thin">
        <color rgb="FFFF0000"/>
      </bottom>
      <diagonal/>
    </border>
    <border>
      <left style="thin">
        <color indexed="64"/>
      </left>
      <right style="thin">
        <color rgb="FFCCFFFF"/>
      </right>
      <top/>
      <bottom style="thin">
        <color rgb="FFCCFFFF"/>
      </bottom>
      <diagonal/>
    </border>
    <border>
      <left style="thin">
        <color rgb="FFCCFFFF"/>
      </left>
      <right style="thin">
        <color rgb="FFCCFFFF"/>
      </right>
      <top/>
      <bottom style="thin">
        <color rgb="FFCCFFFF"/>
      </bottom>
      <diagonal/>
    </border>
    <border>
      <left style="thin">
        <color rgb="FFCCFFFF"/>
      </left>
      <right style="thin">
        <color indexed="64"/>
      </right>
      <top/>
      <bottom style="thin">
        <color rgb="FFCCFFF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47"/>
      </right>
      <top style="thin">
        <color indexed="47"/>
      </top>
      <bottom style="thin">
        <color indexed="47"/>
      </bottom>
      <diagonal/>
    </border>
    <border>
      <left style="thin">
        <color indexed="47"/>
      </left>
      <right/>
      <top style="thin">
        <color indexed="47"/>
      </top>
      <bottom style="thin">
        <color indexed="47"/>
      </bottom>
      <diagonal/>
    </border>
    <border>
      <left/>
      <right style="thin">
        <color indexed="47"/>
      </right>
      <top style="thin">
        <color indexed="47"/>
      </top>
      <bottom style="thin">
        <color indexed="64"/>
      </bottom>
      <diagonal/>
    </border>
    <border>
      <left style="thin">
        <color indexed="47"/>
      </left>
      <right style="thin">
        <color indexed="47"/>
      </right>
      <top style="thin">
        <color indexed="47"/>
      </top>
      <bottom style="thin">
        <color indexed="64"/>
      </bottom>
      <diagonal/>
    </border>
    <border>
      <left style="thin">
        <color indexed="47"/>
      </left>
      <right/>
      <top style="thin">
        <color indexed="47"/>
      </top>
      <bottom style="thin">
        <color indexed="64"/>
      </bottom>
      <diagonal/>
    </border>
    <border>
      <left/>
      <right/>
      <top style="thin">
        <color indexed="47"/>
      </top>
      <bottom style="thin">
        <color indexed="47"/>
      </bottom>
      <diagonal/>
    </border>
    <border>
      <left/>
      <right style="thin">
        <color indexed="47"/>
      </right>
      <top style="thin">
        <color indexed="47"/>
      </top>
      <bottom/>
      <diagonal/>
    </border>
    <border>
      <left style="thin">
        <color indexed="47"/>
      </left>
      <right style="thin">
        <color indexed="47"/>
      </right>
      <top style="thin">
        <color indexed="47"/>
      </top>
      <bottom/>
      <diagonal/>
    </border>
    <border>
      <left style="thin">
        <color indexed="47"/>
      </left>
      <right/>
      <top style="thin">
        <color indexed="47"/>
      </top>
      <bottom/>
      <diagonal/>
    </border>
    <border>
      <left/>
      <right style="thin">
        <color indexed="47"/>
      </right>
      <top/>
      <bottom style="thin">
        <color indexed="47"/>
      </bottom>
      <diagonal/>
    </border>
    <border>
      <left style="thin">
        <color indexed="47"/>
      </left>
      <right style="thin">
        <color indexed="47"/>
      </right>
      <top/>
      <bottom style="thin">
        <color indexed="47"/>
      </bottom>
      <diagonal/>
    </border>
    <border>
      <left style="thin">
        <color indexed="47"/>
      </left>
      <right/>
      <top/>
      <bottom style="thin">
        <color indexed="47"/>
      </bottom>
      <diagonal/>
    </border>
    <border>
      <left/>
      <right/>
      <top/>
      <bottom style="thin">
        <color indexed="47"/>
      </bottom>
      <diagonal/>
    </border>
    <border>
      <left/>
      <right/>
      <top/>
      <bottom style="thin">
        <color theme="4" tint="0.39997558519241921"/>
      </bottom>
      <diagonal/>
    </border>
    <border>
      <left style="thin">
        <color rgb="FFCCFFFF"/>
      </left>
      <right style="thin">
        <color rgb="FFCCFFFF"/>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theme="6" tint="0.79998168889431442"/>
      </top>
      <bottom style="thin">
        <color theme="6" tint="0.79998168889431442"/>
      </bottom>
      <diagonal/>
    </border>
    <border>
      <left style="thin">
        <color indexed="47"/>
      </left>
      <right style="thin">
        <color indexed="47"/>
      </right>
      <top style="thin">
        <color indexed="47"/>
      </top>
      <bottom style="thin">
        <color indexed="47"/>
      </bottom>
      <diagonal/>
    </border>
    <border>
      <left/>
      <right/>
      <top style="thin">
        <color indexed="47"/>
      </top>
      <bottom/>
      <diagonal/>
    </border>
    <border>
      <left/>
      <right style="thin">
        <color auto="1"/>
      </right>
      <top style="thin">
        <color auto="1"/>
      </top>
      <bottom style="thin">
        <color rgb="FFCCFFFF"/>
      </bottom>
      <diagonal/>
    </border>
    <border>
      <left style="thin">
        <color indexed="64"/>
      </left>
      <right style="thin">
        <color rgb="FFCCFFFF"/>
      </right>
      <top style="thin">
        <color indexed="64"/>
      </top>
      <bottom/>
      <diagonal/>
    </border>
    <border>
      <left style="thin">
        <color rgb="FFCCFFFF"/>
      </left>
      <right style="thin">
        <color indexed="64"/>
      </right>
      <top style="thin">
        <color indexed="64"/>
      </top>
      <bottom/>
      <diagonal/>
    </border>
    <border>
      <left style="thin">
        <color rgb="FFCCFFFF"/>
      </left>
      <right/>
      <top style="thin">
        <color indexed="64"/>
      </top>
      <bottom/>
      <diagonal/>
    </border>
    <border>
      <left style="thin">
        <color indexed="47"/>
      </left>
      <right style="thin">
        <color indexed="64"/>
      </right>
      <top style="thin">
        <color indexed="47"/>
      </top>
      <bottom style="thin">
        <color indexed="47"/>
      </bottom>
      <diagonal/>
    </border>
    <border>
      <left style="thin">
        <color indexed="47"/>
      </left>
      <right style="thin">
        <color indexed="47"/>
      </right>
      <top style="thin">
        <color indexed="47"/>
      </top>
      <bottom style="thin">
        <color indexed="47"/>
      </bottom>
      <diagonal/>
    </border>
    <border>
      <left style="thin">
        <color indexed="64"/>
      </left>
      <right/>
      <top style="thin">
        <color indexed="64"/>
      </top>
      <bottom style="thin">
        <color indexed="64"/>
      </bottom>
      <diagonal/>
    </border>
    <border>
      <left/>
      <right style="thin">
        <color rgb="FFFF0000"/>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style="thin">
        <color auto="1"/>
      </bottom>
      <diagonal/>
    </border>
    <border>
      <left style="thin">
        <color indexed="64"/>
      </left>
      <right style="thin">
        <color rgb="FFCCFFFF"/>
      </right>
      <top style="thin">
        <color indexed="64"/>
      </top>
      <bottom style="thin">
        <color indexed="64"/>
      </bottom>
      <diagonal/>
    </border>
    <border>
      <left style="thin">
        <color rgb="FFCCFFFF"/>
      </left>
      <right style="thin">
        <color rgb="FFCCFFFF"/>
      </right>
      <top/>
      <bottom style="thin">
        <color auto="1"/>
      </bottom>
      <diagonal/>
    </border>
    <border>
      <left style="thin">
        <color rgb="FFCCFFFF"/>
      </left>
      <right style="thin">
        <color indexed="64"/>
      </right>
      <top/>
      <bottom style="thin">
        <color indexed="64"/>
      </bottom>
      <diagonal/>
    </border>
    <border>
      <left style="thin">
        <color auto="1"/>
      </left>
      <right style="thin">
        <color rgb="FFFF0000"/>
      </right>
      <top style="thin">
        <color auto="1"/>
      </top>
      <bottom style="thin">
        <color auto="1"/>
      </bottom>
      <diagonal/>
    </border>
    <border>
      <left style="thin">
        <color rgb="FFFF0000"/>
      </left>
      <right style="thin">
        <color rgb="FFCCFFFF"/>
      </right>
      <top style="thin">
        <color auto="1"/>
      </top>
      <bottom style="thin">
        <color auto="1"/>
      </bottom>
      <diagonal/>
    </border>
    <border>
      <left/>
      <right style="thin">
        <color indexed="47"/>
      </right>
      <top style="thin">
        <color indexed="47"/>
      </top>
      <bottom style="thin">
        <color indexed="47"/>
      </bottom>
      <diagonal/>
    </border>
    <border>
      <left style="thin">
        <color indexed="47"/>
      </left>
      <right/>
      <top style="thin">
        <color indexed="47"/>
      </top>
      <bottom style="thin">
        <color indexed="47"/>
      </bottom>
      <diagonal/>
    </border>
    <border>
      <left/>
      <right style="thin">
        <color indexed="47"/>
      </right>
      <top style="thin">
        <color indexed="47"/>
      </top>
      <bottom/>
      <diagonal/>
    </border>
    <border>
      <left/>
      <right/>
      <top style="thin">
        <color indexed="47"/>
      </top>
      <bottom style="thin">
        <color indexed="47"/>
      </bottom>
      <diagonal/>
    </border>
    <border>
      <left style="thin">
        <color auto="1"/>
      </left>
      <right style="thin">
        <color auto="1"/>
      </right>
      <top/>
      <bottom/>
      <diagonal/>
    </border>
    <border>
      <left style="thin">
        <color rgb="FFFF0000"/>
      </left>
      <right/>
      <top style="thin">
        <color indexed="64"/>
      </top>
      <bottom style="thin">
        <color rgb="FFCCFFFF"/>
      </bottom>
      <diagonal/>
    </border>
    <border>
      <left/>
      <right style="thin">
        <color rgb="FFCCFFFF"/>
      </right>
      <top style="thin">
        <color indexed="64"/>
      </top>
      <bottom style="thin">
        <color rgb="FFCCFFFF"/>
      </bottom>
      <diagonal/>
    </border>
    <border>
      <left/>
      <right style="thin">
        <color indexed="64"/>
      </right>
      <top/>
      <bottom/>
      <diagonal/>
    </border>
    <border>
      <left/>
      <right style="thin">
        <color indexed="47"/>
      </right>
      <top/>
      <bottom style="thin">
        <color indexed="47"/>
      </bottom>
      <diagonal/>
    </border>
    <border>
      <left style="thin">
        <color indexed="47"/>
      </left>
      <right style="thin">
        <color indexed="47"/>
      </right>
      <top/>
      <bottom style="thin">
        <color indexed="47"/>
      </bottom>
      <diagonal/>
    </border>
    <border>
      <left style="thin">
        <color indexed="47"/>
      </left>
      <right/>
      <top/>
      <bottom style="thin">
        <color indexed="47"/>
      </bottom>
      <diagonal/>
    </border>
    <border>
      <left/>
      <right/>
      <top style="thin">
        <color rgb="FFCCFFFF"/>
      </top>
      <bottom style="thin">
        <color indexed="64"/>
      </bottom>
      <diagonal/>
    </border>
  </borders>
  <cellStyleXfs count="158">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5" fillId="0" borderId="0"/>
    <xf numFmtId="164" fontId="5" fillId="0" borderId="0">
      <alignment horizontal="left"/>
    </xf>
    <xf numFmtId="165" fontId="5" fillId="0" borderId="0" applyFont="0" applyFill="0" applyBorder="0" applyAlignment="0" applyProtection="0"/>
    <xf numFmtId="49" fontId="7" fillId="0" borderId="1">
      <alignment vertical="top" wrapText="1"/>
    </xf>
    <xf numFmtId="0" fontId="5" fillId="2" borderId="2">
      <alignment horizontal="left" vertical="top" wrapText="1"/>
      <protection locked="0"/>
    </xf>
    <xf numFmtId="164" fontId="5" fillId="2" borderId="2">
      <alignment horizontal="left" vertical="top" wrapText="1"/>
      <protection locked="0"/>
    </xf>
    <xf numFmtId="0" fontId="6" fillId="3" borderId="3">
      <alignment horizontal="left" vertical="center"/>
    </xf>
    <xf numFmtId="0" fontId="5" fillId="0" borderId="0"/>
    <xf numFmtId="9" fontId="28" fillId="0" borderId="0" applyFont="0" applyFill="0" applyBorder="0" applyAlignment="0" applyProtection="0"/>
  </cellStyleXfs>
  <cellXfs count="480">
    <xf numFmtId="0" fontId="0" fillId="0" borderId="0" xfId="0"/>
    <xf numFmtId="0" fontId="10" fillId="0" borderId="0" xfId="0" applyFont="1" applyAlignment="1">
      <alignment vertical="center"/>
    </xf>
    <xf numFmtId="0" fontId="11" fillId="4" borderId="4" xfId="0" applyFont="1" applyFill="1" applyBorder="1" applyAlignment="1">
      <alignment horizontal="left" vertical="top"/>
    </xf>
    <xf numFmtId="0" fontId="11" fillId="4" borderId="6" xfId="0" applyFont="1" applyFill="1" applyBorder="1" applyAlignment="1">
      <alignment horizontal="left" vertical="top"/>
    </xf>
    <xf numFmtId="0" fontId="11" fillId="4" borderId="8" xfId="0" applyFont="1" applyFill="1" applyBorder="1" applyAlignment="1">
      <alignment horizontal="left" vertical="top"/>
    </xf>
    <xf numFmtId="0" fontId="11" fillId="0" borderId="0" xfId="0" applyFont="1"/>
    <xf numFmtId="0" fontId="8" fillId="4" borderId="4" xfId="0" applyFont="1" applyFill="1" applyBorder="1" applyAlignment="1">
      <alignment horizontal="left" vertical="center"/>
    </xf>
    <xf numFmtId="0" fontId="9" fillId="0" borderId="5" xfId="0" applyFont="1" applyBorder="1" applyAlignment="1">
      <alignment horizontal="left" vertical="center" wrapText="1"/>
    </xf>
    <xf numFmtId="0" fontId="8" fillId="4" borderId="6" xfId="0" applyFont="1" applyFill="1" applyBorder="1" applyAlignment="1">
      <alignment horizontal="left" vertical="center"/>
    </xf>
    <xf numFmtId="0" fontId="9" fillId="0" borderId="7" xfId="0" applyFont="1" applyBorder="1" applyAlignment="1">
      <alignment horizontal="left" vertical="center" wrapText="1"/>
    </xf>
    <xf numFmtId="0" fontId="8" fillId="4" borderId="8" xfId="0" applyFont="1" applyFill="1" applyBorder="1" applyAlignment="1">
      <alignment horizontal="left" vertical="center"/>
    </xf>
    <xf numFmtId="0" fontId="9" fillId="0" borderId="9" xfId="0" applyFont="1" applyBorder="1" applyAlignment="1">
      <alignment horizontal="left" vertical="center" wrapText="1"/>
    </xf>
    <xf numFmtId="0" fontId="12" fillId="0" borderId="0" xfId="0" applyFont="1" applyAlignment="1">
      <alignment vertical="center"/>
    </xf>
    <xf numFmtId="0" fontId="0" fillId="0" borderId="11" xfId="0" applyBorder="1" applyAlignment="1">
      <alignment vertical="center"/>
    </xf>
    <xf numFmtId="0" fontId="0" fillId="0" borderId="12" xfId="0" applyBorder="1" applyAlignment="1">
      <alignment vertical="center"/>
    </xf>
    <xf numFmtId="0" fontId="8" fillId="4" borderId="13" xfId="0" applyFont="1" applyFill="1" applyBorder="1" applyAlignment="1">
      <alignment horizontal="left" vertical="center"/>
    </xf>
    <xf numFmtId="0" fontId="8" fillId="4" borderId="14" xfId="0" applyFont="1" applyFill="1" applyBorder="1" applyAlignment="1">
      <alignment horizontal="left" vertical="center"/>
    </xf>
    <xf numFmtId="0" fontId="9" fillId="4" borderId="6" xfId="0" applyFont="1" applyFill="1" applyBorder="1" applyAlignment="1">
      <alignment horizontal="left" vertical="center"/>
    </xf>
    <xf numFmtId="0" fontId="9" fillId="4" borderId="8" xfId="0" applyFont="1" applyFill="1" applyBorder="1" applyAlignment="1">
      <alignment horizontal="left" vertical="center"/>
    </xf>
    <xf numFmtId="0" fontId="9" fillId="4" borderId="10" xfId="0" applyFont="1" applyFill="1" applyBorder="1" applyAlignment="1">
      <alignment horizontal="left" vertical="center"/>
    </xf>
    <xf numFmtId="0" fontId="8" fillId="4" borderId="16" xfId="0" applyFont="1" applyFill="1" applyBorder="1" applyAlignment="1">
      <alignment vertical="top"/>
    </xf>
    <xf numFmtId="0" fontId="8" fillId="4" borderId="13" xfId="0" applyFont="1" applyFill="1" applyBorder="1" applyAlignment="1">
      <alignment horizontal="left" vertical="top"/>
    </xf>
    <xf numFmtId="0" fontId="8" fillId="4" borderId="14" xfId="0" applyFont="1" applyFill="1" applyBorder="1" applyAlignment="1">
      <alignment horizontal="left" vertical="top"/>
    </xf>
    <xf numFmtId="0" fontId="16" fillId="0" borderId="0" xfId="0" applyFont="1" applyAlignment="1">
      <alignment wrapText="1"/>
    </xf>
    <xf numFmtId="0" fontId="9" fillId="0" borderId="0" xfId="0" applyFont="1" applyAlignment="1">
      <alignment vertical="top"/>
    </xf>
    <xf numFmtId="0" fontId="9" fillId="0" borderId="7" xfId="0" applyFont="1" applyBorder="1" applyAlignment="1">
      <alignment horizontal="justify" vertical="top" wrapText="1"/>
    </xf>
    <xf numFmtId="0" fontId="9" fillId="0" borderId="5" xfId="0" applyFont="1" applyBorder="1" applyAlignment="1">
      <alignment horizontal="justify" vertical="top" wrapText="1"/>
    </xf>
    <xf numFmtId="0" fontId="9" fillId="0" borderId="9" xfId="0" applyFont="1" applyBorder="1" applyAlignment="1">
      <alignment horizontal="justify" vertical="top" wrapText="1"/>
    </xf>
    <xf numFmtId="0" fontId="8" fillId="4" borderId="13" xfId="0" applyFont="1" applyFill="1" applyBorder="1" applyAlignment="1">
      <alignment horizontal="left" vertical="top" wrapText="1"/>
    </xf>
    <xf numFmtId="0" fontId="8" fillId="4" borderId="43" xfId="0" applyFont="1" applyFill="1" applyBorder="1" applyAlignment="1">
      <alignment horizontal="left" vertical="top" wrapText="1"/>
    </xf>
    <xf numFmtId="0" fontId="9" fillId="0" borderId="33" xfId="0" applyFont="1" applyBorder="1" applyAlignment="1">
      <alignment vertical="top"/>
    </xf>
    <xf numFmtId="0" fontId="9" fillId="0" borderId="17" xfId="0" applyFont="1" applyBorder="1" applyAlignment="1">
      <alignment horizontal="left" vertical="top"/>
    </xf>
    <xf numFmtId="0" fontId="9" fillId="0" borderId="17" xfId="0" applyFont="1" applyBorder="1" applyAlignment="1">
      <alignment horizontal="left" vertical="top" wrapText="1"/>
    </xf>
    <xf numFmtId="0" fontId="9" fillId="0" borderId="34" xfId="0" applyFont="1" applyBorder="1" applyAlignment="1">
      <alignment horizontal="left" vertical="top" wrapText="1"/>
    </xf>
    <xf numFmtId="0" fontId="9" fillId="0" borderId="35" xfId="0" applyFont="1" applyBorder="1" applyAlignment="1">
      <alignment vertical="top"/>
    </xf>
    <xf numFmtId="0" fontId="9" fillId="0" borderId="36" xfId="0" applyFont="1" applyBorder="1" applyAlignment="1">
      <alignment horizontal="left" vertical="top"/>
    </xf>
    <xf numFmtId="0" fontId="9" fillId="0" borderId="36" xfId="0" applyFont="1" applyBorder="1" applyAlignment="1">
      <alignment horizontal="left" vertical="top" wrapText="1"/>
    </xf>
    <xf numFmtId="0" fontId="9" fillId="0" borderId="41" xfId="0" applyFont="1" applyBorder="1" applyAlignment="1">
      <alignment vertical="top"/>
    </xf>
    <xf numFmtId="0" fontId="9" fillId="0" borderId="18" xfId="0" applyFont="1" applyBorder="1" applyAlignment="1">
      <alignment horizontal="left" vertical="top"/>
    </xf>
    <xf numFmtId="0" fontId="9" fillId="0" borderId="18" xfId="0" applyFont="1" applyBorder="1" applyAlignment="1">
      <alignment horizontal="left" vertical="top" wrapText="1"/>
    </xf>
    <xf numFmtId="0" fontId="0" fillId="0" borderId="38" xfId="0" applyBorder="1" applyAlignment="1">
      <alignment vertical="top"/>
    </xf>
    <xf numFmtId="0" fontId="0" fillId="0" borderId="39" xfId="0" applyBorder="1" applyAlignment="1">
      <alignment vertical="top"/>
    </xf>
    <xf numFmtId="0" fontId="0" fillId="0" borderId="39" xfId="0" applyBorder="1" applyAlignment="1">
      <alignment vertical="top" wrapText="1"/>
    </xf>
    <xf numFmtId="0" fontId="0" fillId="0" borderId="40" xfId="0" applyBorder="1" applyAlignment="1">
      <alignment vertical="top"/>
    </xf>
    <xf numFmtId="0" fontId="9" fillId="0" borderId="37" xfId="0" applyFont="1" applyBorder="1" applyAlignment="1">
      <alignment horizontal="left" vertical="top" wrapText="1"/>
    </xf>
    <xf numFmtId="0" fontId="9" fillId="0" borderId="42" xfId="0" applyFont="1" applyBorder="1" applyAlignment="1">
      <alignment horizontal="left" vertical="top" wrapText="1"/>
    </xf>
    <xf numFmtId="0" fontId="8" fillId="4" borderId="14" xfId="0" applyFont="1" applyFill="1" applyBorder="1" applyAlignment="1">
      <alignment horizontal="left" vertical="top" wrapText="1"/>
    </xf>
    <xf numFmtId="0" fontId="8" fillId="4" borderId="16" xfId="0" applyFont="1" applyFill="1" applyBorder="1" applyAlignment="1">
      <alignment vertical="top" wrapText="1"/>
    </xf>
    <xf numFmtId="0" fontId="8" fillId="4" borderId="44" xfId="0" applyFont="1" applyFill="1" applyBorder="1" applyAlignment="1">
      <alignment vertical="top"/>
    </xf>
    <xf numFmtId="0" fontId="8" fillId="7" borderId="33" xfId="0" applyFont="1" applyFill="1" applyBorder="1" applyAlignment="1">
      <alignment vertical="top"/>
    </xf>
    <xf numFmtId="0" fontId="8" fillId="7" borderId="34" xfId="0" applyFont="1" applyFill="1" applyBorder="1" applyAlignment="1">
      <alignment horizontal="center" vertical="top"/>
    </xf>
    <xf numFmtId="0" fontId="8" fillId="5" borderId="45" xfId="0" applyFont="1" applyFill="1" applyBorder="1" applyAlignment="1">
      <alignment horizontal="center" vertical="top"/>
    </xf>
    <xf numFmtId="0" fontId="0" fillId="0" borderId="0" xfId="0" applyAlignment="1">
      <alignment wrapText="1"/>
    </xf>
    <xf numFmtId="0" fontId="9" fillId="0" borderId="0" xfId="0" applyFont="1" applyAlignment="1">
      <alignment vertical="top" wrapText="1"/>
    </xf>
    <xf numFmtId="0" fontId="15" fillId="4" borderId="50" xfId="0" applyFont="1" applyFill="1" applyBorder="1" applyAlignment="1">
      <alignment vertical="center"/>
    </xf>
    <xf numFmtId="0" fontId="15" fillId="4" borderId="51" xfId="0" applyFont="1" applyFill="1" applyBorder="1" applyAlignment="1">
      <alignment horizontal="left" vertical="center" wrapText="1"/>
    </xf>
    <xf numFmtId="0" fontId="15" fillId="4" borderId="52" xfId="0" applyFont="1" applyFill="1" applyBorder="1" applyAlignment="1">
      <alignment horizontal="left" vertical="center" wrapText="1"/>
    </xf>
    <xf numFmtId="0" fontId="15" fillId="4" borderId="27" xfId="0" applyFont="1" applyFill="1" applyBorder="1" applyAlignment="1">
      <alignment horizontal="left" vertical="center" wrapText="1"/>
    </xf>
    <xf numFmtId="0" fontId="8" fillId="4" borderId="53" xfId="0" applyFont="1" applyFill="1" applyBorder="1" applyAlignment="1">
      <alignment vertical="center"/>
    </xf>
    <xf numFmtId="0" fontId="15" fillId="7" borderId="52" xfId="0" applyFont="1" applyFill="1" applyBorder="1" applyAlignment="1">
      <alignment horizontal="centerContinuous" vertical="center"/>
    </xf>
    <xf numFmtId="0" fontId="17" fillId="7" borderId="29" xfId="0" applyFont="1" applyFill="1" applyBorder="1" applyAlignment="1">
      <alignment horizontal="centerContinuous" vertical="center"/>
    </xf>
    <xf numFmtId="0" fontId="17" fillId="7" borderId="55" xfId="0" applyFont="1" applyFill="1" applyBorder="1" applyAlignment="1">
      <alignment horizontal="centerContinuous" vertical="center"/>
    </xf>
    <xf numFmtId="0" fontId="17" fillId="7" borderId="26" xfId="0" applyFont="1" applyFill="1" applyBorder="1" applyAlignment="1">
      <alignment horizontal="centerContinuous" vertical="center"/>
    </xf>
    <xf numFmtId="0" fontId="8" fillId="4" borderId="16" xfId="0" applyFont="1" applyFill="1" applyBorder="1" applyAlignment="1">
      <alignment horizontal="centerContinuous" vertical="top" wrapText="1"/>
    </xf>
    <xf numFmtId="0" fontId="8" fillId="4" borderId="54" xfId="0" applyFont="1" applyFill="1" applyBorder="1" applyAlignment="1">
      <alignment horizontal="centerContinuous" vertical="top" wrapText="1"/>
    </xf>
    <xf numFmtId="0" fontId="8" fillId="4" borderId="44" xfId="0" applyFont="1" applyFill="1" applyBorder="1" applyAlignment="1">
      <alignment horizontal="centerContinuous" vertical="top"/>
    </xf>
    <xf numFmtId="0" fontId="9" fillId="0" borderId="0" xfId="0" applyFont="1" applyAlignment="1">
      <alignment horizontal="justify" vertical="top" wrapText="1"/>
    </xf>
    <xf numFmtId="0" fontId="9" fillId="0" borderId="0" xfId="0" applyFont="1" applyAlignment="1">
      <alignment horizontal="justify" vertical="top"/>
    </xf>
    <xf numFmtId="0" fontId="8" fillId="4" borderId="53" xfId="0" applyFont="1" applyFill="1" applyBorder="1" applyAlignment="1">
      <alignment vertical="top"/>
    </xf>
    <xf numFmtId="0" fontId="9" fillId="0" borderId="63" xfId="0" applyFont="1" applyBorder="1" applyAlignment="1">
      <alignment horizontal="left" vertical="center" wrapText="1"/>
    </xf>
    <xf numFmtId="0" fontId="9" fillId="0" borderId="42" xfId="0" applyFont="1" applyBorder="1" applyAlignment="1">
      <alignment horizontal="left" vertical="center" wrapText="1"/>
    </xf>
    <xf numFmtId="0" fontId="9" fillId="0" borderId="46" xfId="0" applyFont="1" applyBorder="1" applyAlignment="1">
      <alignment horizontal="left" vertical="center" wrapText="1"/>
    </xf>
    <xf numFmtId="0" fontId="9" fillId="0" borderId="51" xfId="0" applyFont="1" applyBorder="1" applyAlignment="1">
      <alignment horizontal="left" vertical="top"/>
    </xf>
    <xf numFmtId="0" fontId="8" fillId="4" borderId="58" xfId="0" applyFont="1" applyFill="1" applyBorder="1"/>
    <xf numFmtId="0" fontId="8" fillId="4" borderId="59" xfId="0" applyFont="1" applyFill="1" applyBorder="1" applyAlignment="1">
      <alignment horizontal="left"/>
    </xf>
    <xf numFmtId="0" fontId="8" fillId="4" borderId="59" xfId="0" applyFont="1" applyFill="1" applyBorder="1" applyAlignment="1">
      <alignment horizontal="left" wrapText="1"/>
    </xf>
    <xf numFmtId="0" fontId="8" fillId="4" borderId="60" xfId="0" applyFont="1" applyFill="1" applyBorder="1" applyAlignment="1">
      <alignment horizontal="left" wrapText="1"/>
    </xf>
    <xf numFmtId="0" fontId="8" fillId="7" borderId="66" xfId="0" applyFont="1" applyFill="1" applyBorder="1" applyAlignment="1">
      <alignment vertical="center"/>
    </xf>
    <xf numFmtId="0" fontId="8" fillId="7" borderId="67" xfId="0" applyFont="1" applyFill="1" applyBorder="1" applyAlignment="1">
      <alignment horizontal="left" vertical="center"/>
    </xf>
    <xf numFmtId="0" fontId="8" fillId="7" borderId="67" xfId="0" applyFont="1" applyFill="1" applyBorder="1" applyAlignment="1">
      <alignment horizontal="left" vertical="center" wrapText="1"/>
    </xf>
    <xf numFmtId="0" fontId="8" fillId="7" borderId="68" xfId="0" applyFont="1" applyFill="1" applyBorder="1" applyAlignment="1">
      <alignment horizontal="left" vertical="center" wrapText="1"/>
    </xf>
    <xf numFmtId="166" fontId="9" fillId="0" borderId="62" xfId="0" applyNumberFormat="1" applyFont="1" applyBorder="1" applyAlignment="1">
      <alignment horizontal="right" vertical="center" wrapText="1"/>
    </xf>
    <xf numFmtId="166" fontId="9" fillId="0" borderId="64" xfId="0" applyNumberFormat="1" applyFont="1" applyBorder="1" applyAlignment="1">
      <alignment horizontal="right" vertical="center" wrapText="1"/>
    </xf>
    <xf numFmtId="43" fontId="9" fillId="0" borderId="65" xfId="0" applyNumberFormat="1" applyFont="1" applyBorder="1" applyAlignment="1">
      <alignment horizontal="right" vertical="center" wrapText="1"/>
    </xf>
    <xf numFmtId="0" fontId="8" fillId="4" borderId="69" xfId="0" applyFont="1" applyFill="1" applyBorder="1" applyAlignment="1">
      <alignment horizontal="center" vertical="center" wrapText="1"/>
    </xf>
    <xf numFmtId="166" fontId="9" fillId="4" borderId="60" xfId="0" applyNumberFormat="1" applyFont="1" applyFill="1" applyBorder="1" applyAlignment="1">
      <alignment horizontal="center" textRotation="90" wrapText="1"/>
    </xf>
    <xf numFmtId="0" fontId="8" fillId="4" borderId="60" xfId="0" applyFont="1" applyFill="1" applyBorder="1" applyAlignment="1">
      <alignment horizontal="center" textRotation="90" wrapText="1"/>
    </xf>
    <xf numFmtId="0" fontId="0" fillId="5" borderId="0" xfId="0" applyFill="1"/>
    <xf numFmtId="49" fontId="0" fillId="0" borderId="0" xfId="0" applyNumberFormat="1" applyAlignment="1">
      <alignment horizontal="right"/>
    </xf>
    <xf numFmtId="0" fontId="0" fillId="0" borderId="0" xfId="0" applyAlignment="1">
      <alignment horizontal="right"/>
    </xf>
    <xf numFmtId="43" fontId="9" fillId="0" borderId="64" xfId="0" applyNumberFormat="1" applyFont="1" applyBorder="1" applyAlignment="1">
      <alignment horizontal="right" vertical="center" wrapText="1"/>
    </xf>
    <xf numFmtId="0" fontId="8" fillId="4" borderId="61" xfId="0" applyFont="1" applyFill="1" applyBorder="1" applyAlignment="1">
      <alignment horizontal="center" textRotation="90" wrapText="1"/>
    </xf>
    <xf numFmtId="0" fontId="9" fillId="0" borderId="26" xfId="0" applyFont="1" applyBorder="1" applyAlignment="1">
      <alignment horizontal="left" vertical="top" wrapText="1"/>
    </xf>
    <xf numFmtId="167" fontId="9" fillId="0" borderId="51" xfId="0" applyNumberFormat="1" applyFont="1" applyBorder="1" applyAlignment="1">
      <alignment horizontal="center" vertical="center"/>
    </xf>
    <xf numFmtId="167" fontId="9" fillId="0" borderId="71" xfId="0" applyNumberFormat="1" applyFont="1" applyBorder="1" applyAlignment="1">
      <alignment horizontal="center" vertical="center"/>
    </xf>
    <xf numFmtId="167" fontId="9" fillId="0" borderId="36" xfId="0" applyNumberFormat="1" applyFont="1" applyBorder="1" applyAlignment="1">
      <alignment horizontal="center" vertical="center"/>
    </xf>
    <xf numFmtId="167" fontId="9" fillId="5" borderId="56" xfId="0" applyNumberFormat="1" applyFont="1" applyFill="1" applyBorder="1" applyAlignment="1">
      <alignment horizontal="center" vertical="center"/>
    </xf>
    <xf numFmtId="10" fontId="9" fillId="5" borderId="27" xfId="0" applyNumberFormat="1" applyFont="1" applyFill="1" applyBorder="1" applyAlignment="1">
      <alignment horizontal="right" vertical="center" wrapText="1"/>
    </xf>
    <xf numFmtId="10" fontId="9" fillId="5" borderId="37" xfId="0" applyNumberFormat="1" applyFont="1" applyFill="1" applyBorder="1" applyAlignment="1">
      <alignment horizontal="right" vertical="center" wrapText="1"/>
    </xf>
    <xf numFmtId="0" fontId="9" fillId="5" borderId="57" xfId="0" applyFont="1" applyFill="1" applyBorder="1" applyAlignment="1">
      <alignment horizontal="right" vertical="center"/>
    </xf>
    <xf numFmtId="167" fontId="8" fillId="4" borderId="56" xfId="0" applyNumberFormat="1" applyFont="1" applyFill="1" applyBorder="1" applyAlignment="1">
      <alignment horizontal="center" vertical="center"/>
    </xf>
    <xf numFmtId="0" fontId="8" fillId="4" borderId="57" xfId="0" applyFont="1" applyFill="1" applyBorder="1" applyAlignment="1">
      <alignment horizontal="right" vertical="center"/>
    </xf>
    <xf numFmtId="2" fontId="9" fillId="5" borderId="29" xfId="0" applyNumberFormat="1" applyFont="1" applyFill="1" applyBorder="1" applyAlignment="1">
      <alignment horizontal="right" vertical="center"/>
    </xf>
    <xf numFmtId="2" fontId="9" fillId="5" borderId="72" xfId="0" applyNumberFormat="1" applyFont="1" applyFill="1" applyBorder="1" applyAlignment="1">
      <alignment horizontal="right" vertical="center"/>
    </xf>
    <xf numFmtId="0" fontId="9" fillId="0" borderId="0" xfId="0" applyFont="1"/>
    <xf numFmtId="0" fontId="8" fillId="7" borderId="67" xfId="0" applyFont="1" applyFill="1" applyBorder="1" applyAlignment="1">
      <alignment horizontal="center" vertical="center"/>
    </xf>
    <xf numFmtId="0" fontId="8" fillId="7" borderId="68" xfId="0" applyFont="1" applyFill="1" applyBorder="1" applyAlignment="1">
      <alignment horizontal="center" vertical="center"/>
    </xf>
    <xf numFmtId="0" fontId="9" fillId="7" borderId="0" xfId="0" applyFont="1" applyFill="1"/>
    <xf numFmtId="0" fontId="9" fillId="4" borderId="0" xfId="0" applyFont="1" applyFill="1"/>
    <xf numFmtId="0" fontId="9" fillId="0" borderId="0" xfId="0" applyFont="1" applyAlignment="1">
      <alignment vertical="center"/>
    </xf>
    <xf numFmtId="0" fontId="8" fillId="4" borderId="73" xfId="0" applyFont="1" applyFill="1" applyBorder="1" applyAlignment="1">
      <alignment vertical="center"/>
    </xf>
    <xf numFmtId="0" fontId="8" fillId="4" borderId="74" xfId="0" applyFont="1" applyFill="1" applyBorder="1" applyAlignment="1">
      <alignment vertical="center"/>
    </xf>
    <xf numFmtId="0" fontId="8" fillId="4" borderId="75" xfId="0" applyFont="1" applyFill="1" applyBorder="1" applyAlignment="1">
      <alignment vertical="center"/>
    </xf>
    <xf numFmtId="0" fontId="8" fillId="4" borderId="44" xfId="0" applyFont="1" applyFill="1" applyBorder="1" applyAlignment="1">
      <alignment vertical="center"/>
    </xf>
    <xf numFmtId="9" fontId="9" fillId="5" borderId="77" xfId="0" applyNumberFormat="1" applyFont="1" applyFill="1" applyBorder="1" applyAlignment="1">
      <alignment vertical="center"/>
    </xf>
    <xf numFmtId="0" fontId="9" fillId="8" borderId="63" xfId="0" applyFont="1" applyFill="1" applyBorder="1" applyAlignment="1">
      <alignment horizontal="center" vertical="center"/>
    </xf>
    <xf numFmtId="9" fontId="9" fillId="5" borderId="41" xfId="0" applyNumberFormat="1" applyFont="1" applyFill="1" applyBorder="1" applyAlignment="1">
      <alignment vertical="center"/>
    </xf>
    <xf numFmtId="0" fontId="9" fillId="10" borderId="42" xfId="0" applyFont="1" applyFill="1" applyBorder="1" applyAlignment="1">
      <alignment horizontal="center" vertical="center"/>
    </xf>
    <xf numFmtId="0" fontId="9" fillId="9" borderId="42" xfId="0" applyFont="1" applyFill="1" applyBorder="1" applyAlignment="1">
      <alignment horizontal="center" vertical="center"/>
    </xf>
    <xf numFmtId="0" fontId="9" fillId="11" borderId="42" xfId="0" applyFont="1" applyFill="1" applyBorder="1" applyAlignment="1">
      <alignment horizontal="center" vertical="center"/>
    </xf>
    <xf numFmtId="9" fontId="9" fillId="5" borderId="45" xfId="0" applyNumberFormat="1" applyFont="1" applyFill="1" applyBorder="1" applyAlignment="1">
      <alignment vertical="center"/>
    </xf>
    <xf numFmtId="0" fontId="9" fillId="8" borderId="46" xfId="0" applyFont="1" applyFill="1" applyBorder="1" applyAlignment="1">
      <alignment horizontal="center" vertical="center"/>
    </xf>
    <xf numFmtId="10" fontId="9" fillId="5" borderId="9" xfId="0" applyNumberFormat="1" applyFont="1" applyFill="1" applyBorder="1" applyAlignment="1">
      <alignment vertical="center"/>
    </xf>
    <xf numFmtId="10" fontId="9" fillId="5" borderId="65" xfId="0" applyNumberFormat="1" applyFont="1" applyFill="1" applyBorder="1" applyAlignment="1">
      <alignment vertical="center"/>
    </xf>
    <xf numFmtId="10" fontId="9" fillId="5" borderId="19" xfId="0" applyNumberFormat="1" applyFont="1" applyFill="1" applyBorder="1" applyAlignment="1">
      <alignment vertical="center"/>
    </xf>
    <xf numFmtId="10" fontId="9" fillId="5" borderId="46" xfId="0" applyNumberFormat="1" applyFont="1" applyFill="1" applyBorder="1" applyAlignment="1">
      <alignment vertical="center"/>
    </xf>
    <xf numFmtId="0" fontId="0" fillId="0" borderId="39" xfId="0" applyBorder="1" applyAlignment="1">
      <alignment horizontal="left" vertical="top" wrapText="1"/>
    </xf>
    <xf numFmtId="0" fontId="0" fillId="0" borderId="40" xfId="0" applyBorder="1" applyAlignment="1">
      <alignment vertical="top" wrapText="1"/>
    </xf>
    <xf numFmtId="0" fontId="0" fillId="0" borderId="40" xfId="0" applyBorder="1" applyAlignment="1">
      <alignment horizontal="left" vertical="top" wrapText="1"/>
    </xf>
    <xf numFmtId="0" fontId="16" fillId="0" borderId="0" xfId="0" applyFont="1" applyAlignment="1">
      <alignment shrinkToFit="1"/>
    </xf>
    <xf numFmtId="0" fontId="11" fillId="0" borderId="0" xfId="0" applyFont="1" applyAlignment="1">
      <alignment horizontal="center" wrapText="1"/>
    </xf>
    <xf numFmtId="0" fontId="0" fillId="13" borderId="0" xfId="0" applyFill="1"/>
    <xf numFmtId="0" fontId="0" fillId="14" borderId="0" xfId="0" applyFill="1"/>
    <xf numFmtId="0" fontId="0" fillId="14" borderId="0" xfId="0" applyFill="1" applyAlignment="1">
      <alignment horizontal="center"/>
    </xf>
    <xf numFmtId="0" fontId="0" fillId="13" borderId="0" xfId="0" applyFill="1" applyAlignment="1">
      <alignment horizontal="center"/>
    </xf>
    <xf numFmtId="0" fontId="0" fillId="15" borderId="0" xfId="0" applyFill="1"/>
    <xf numFmtId="0" fontId="0" fillId="15" borderId="0" xfId="0" applyFill="1" applyAlignment="1">
      <alignment horizontal="center"/>
    </xf>
    <xf numFmtId="0" fontId="0" fillId="7" borderId="0" xfId="0" applyFill="1" applyAlignment="1">
      <alignment horizontal="center"/>
    </xf>
    <xf numFmtId="0" fontId="0" fillId="7" borderId="0" xfId="0" applyFill="1"/>
    <xf numFmtId="0" fontId="8" fillId="4" borderId="81" xfId="0" applyFont="1" applyFill="1" applyBorder="1" applyAlignment="1">
      <alignment horizontal="left" vertical="center"/>
    </xf>
    <xf numFmtId="0" fontId="8" fillId="4" borderId="83" xfId="0" applyFont="1" applyFill="1" applyBorder="1" applyAlignment="1">
      <alignment horizontal="left" vertical="center"/>
    </xf>
    <xf numFmtId="0" fontId="8" fillId="4" borderId="72" xfId="0" applyFont="1" applyFill="1" applyBorder="1" applyAlignment="1">
      <alignment horizontal="left" vertical="center"/>
    </xf>
    <xf numFmtId="0" fontId="8" fillId="4" borderId="84" xfId="0" applyFont="1" applyFill="1" applyBorder="1" applyAlignment="1">
      <alignment horizontal="left" vertical="center"/>
    </xf>
    <xf numFmtId="0" fontId="8" fillId="4" borderId="82" xfId="0" applyFont="1" applyFill="1" applyBorder="1" applyAlignment="1">
      <alignment horizontal="left" vertical="center"/>
    </xf>
    <xf numFmtId="0" fontId="8" fillId="4" borderId="85" xfId="0" applyFont="1" applyFill="1" applyBorder="1" applyAlignment="1">
      <alignment horizontal="left" vertical="center"/>
    </xf>
    <xf numFmtId="0" fontId="8" fillId="4" borderId="86" xfId="0" applyFont="1" applyFill="1" applyBorder="1" applyAlignment="1">
      <alignment horizontal="left" vertical="center"/>
    </xf>
    <xf numFmtId="0" fontId="8" fillId="4" borderId="87" xfId="0" applyFont="1" applyFill="1" applyBorder="1" applyAlignment="1">
      <alignment horizontal="left" vertical="center"/>
    </xf>
    <xf numFmtId="0" fontId="8" fillId="7" borderId="67" xfId="0" applyFont="1" applyFill="1" applyBorder="1" applyAlignment="1">
      <alignment vertical="center"/>
    </xf>
    <xf numFmtId="0" fontId="8" fillId="4" borderId="59" xfId="0" applyFont="1" applyFill="1" applyBorder="1"/>
    <xf numFmtId="0" fontId="9" fillId="0" borderId="88" xfId="0" applyFont="1" applyBorder="1" applyAlignment="1">
      <alignment vertical="top"/>
    </xf>
    <xf numFmtId="0" fontId="9" fillId="0" borderId="32" xfId="0" applyFont="1" applyBorder="1" applyAlignment="1">
      <alignment vertical="top"/>
    </xf>
    <xf numFmtId="0" fontId="9" fillId="0" borderId="36" xfId="0" applyFont="1" applyBorder="1" applyAlignment="1">
      <alignment vertical="top"/>
    </xf>
    <xf numFmtId="0" fontId="9" fillId="0" borderId="19" xfId="0" applyFont="1" applyBorder="1" applyAlignment="1">
      <alignment vertical="top"/>
    </xf>
    <xf numFmtId="0" fontId="9" fillId="0" borderId="72" xfId="0" applyFont="1" applyBorder="1" applyAlignment="1">
      <alignment vertical="top"/>
    </xf>
    <xf numFmtId="0" fontId="9" fillId="0" borderId="50" xfId="0" applyFont="1" applyBorder="1" applyAlignment="1">
      <alignment vertical="top"/>
    </xf>
    <xf numFmtId="14" fontId="0" fillId="0" borderId="0" xfId="0" applyNumberFormat="1" applyAlignment="1">
      <alignment horizontal="right"/>
    </xf>
    <xf numFmtId="2" fontId="0" fillId="5" borderId="17" xfId="0" applyNumberFormat="1" applyFill="1" applyBorder="1"/>
    <xf numFmtId="2" fontId="0" fillId="0" borderId="18" xfId="0" applyNumberFormat="1" applyBorder="1"/>
    <xf numFmtId="2" fontId="0" fillId="0" borderId="19" xfId="0" applyNumberFormat="1" applyBorder="1"/>
    <xf numFmtId="2" fontId="9" fillId="0" borderId="48" xfId="0" applyNumberFormat="1" applyFont="1" applyBorder="1" applyAlignment="1">
      <alignment horizontal="right" vertical="top"/>
    </xf>
    <xf numFmtId="1" fontId="9" fillId="0" borderId="48" xfId="0" applyNumberFormat="1" applyFont="1" applyBorder="1" applyAlignment="1">
      <alignment horizontal="right" vertical="top"/>
    </xf>
    <xf numFmtId="2" fontId="0" fillId="0" borderId="39" xfId="0" applyNumberFormat="1" applyBorder="1" applyAlignment="1">
      <alignment vertical="top"/>
    </xf>
    <xf numFmtId="1" fontId="0" fillId="0" borderId="39" xfId="0" applyNumberFormat="1" applyBorder="1" applyAlignment="1">
      <alignment vertical="top"/>
    </xf>
    <xf numFmtId="2" fontId="9" fillId="5" borderId="79" xfId="0" applyNumberFormat="1" applyFont="1" applyFill="1" applyBorder="1" applyAlignment="1">
      <alignment vertical="center"/>
    </xf>
    <xf numFmtId="2" fontId="9" fillId="5" borderId="56" xfId="0" applyNumberFormat="1" applyFont="1" applyFill="1" applyBorder="1" applyAlignment="1">
      <alignment vertical="center"/>
    </xf>
    <xf numFmtId="2" fontId="9" fillId="5" borderId="57" xfId="0" applyNumberFormat="1" applyFont="1" applyFill="1" applyBorder="1" applyAlignment="1">
      <alignment vertical="center"/>
    </xf>
    <xf numFmtId="167" fontId="9" fillId="5" borderId="56" xfId="0" applyNumberFormat="1" applyFont="1" applyFill="1" applyBorder="1" applyAlignment="1">
      <alignment vertical="center"/>
    </xf>
    <xf numFmtId="167" fontId="9" fillId="5" borderId="57" xfId="0" applyNumberFormat="1" applyFont="1" applyFill="1" applyBorder="1" applyAlignment="1">
      <alignment vertical="center"/>
    </xf>
    <xf numFmtId="2" fontId="9" fillId="5" borderId="62" xfId="0" applyNumberFormat="1" applyFont="1" applyFill="1" applyBorder="1" applyAlignment="1">
      <alignment vertical="center"/>
    </xf>
    <xf numFmtId="2" fontId="9" fillId="5" borderId="80" xfId="0" applyNumberFormat="1" applyFont="1" applyFill="1" applyBorder="1" applyAlignment="1">
      <alignment vertical="center"/>
    </xf>
    <xf numFmtId="2" fontId="9" fillId="5" borderId="63" xfId="0" applyNumberFormat="1" applyFont="1" applyFill="1" applyBorder="1" applyAlignment="1">
      <alignment vertical="center"/>
    </xf>
    <xf numFmtId="2" fontId="9" fillId="5" borderId="64" xfId="0" applyNumberFormat="1" applyFont="1" applyFill="1" applyBorder="1" applyAlignment="1">
      <alignment vertical="center"/>
    </xf>
    <xf numFmtId="2" fontId="9" fillId="5" borderId="18" xfId="0" applyNumberFormat="1" applyFont="1" applyFill="1" applyBorder="1" applyAlignment="1">
      <alignment vertical="center"/>
    </xf>
    <xf numFmtId="2" fontId="9" fillId="5" borderId="42" xfId="0" applyNumberFormat="1" applyFont="1" applyFill="1" applyBorder="1" applyAlignment="1">
      <alignment vertical="center"/>
    </xf>
    <xf numFmtId="2" fontId="9" fillId="5" borderId="78" xfId="0" applyNumberFormat="1" applyFont="1" applyFill="1" applyBorder="1" applyAlignment="1">
      <alignment vertical="center"/>
    </xf>
    <xf numFmtId="2" fontId="9" fillId="5" borderId="9" xfId="0" applyNumberFormat="1" applyFont="1" applyFill="1" applyBorder="1" applyAlignment="1">
      <alignment vertical="center"/>
    </xf>
    <xf numFmtId="2" fontId="9" fillId="5" borderId="5" xfId="0" applyNumberFormat="1" applyFont="1" applyFill="1" applyBorder="1" applyAlignment="1">
      <alignment vertical="center"/>
    </xf>
    <xf numFmtId="2" fontId="0" fillId="0" borderId="0" xfId="0" applyNumberFormat="1" applyAlignment="1">
      <alignment horizontal="right"/>
    </xf>
    <xf numFmtId="2" fontId="9" fillId="0" borderId="17" xfId="0" applyNumberFormat="1" applyFont="1" applyBorder="1" applyAlignment="1">
      <alignment horizontal="right" vertical="top"/>
    </xf>
    <xf numFmtId="2" fontId="9" fillId="0" borderId="17" xfId="0" applyNumberFormat="1" applyFont="1" applyBorder="1" applyAlignment="1">
      <alignment horizontal="right" vertical="top" wrapText="1"/>
    </xf>
    <xf numFmtId="2" fontId="9" fillId="5" borderId="17" xfId="0" applyNumberFormat="1" applyFont="1" applyFill="1" applyBorder="1" applyAlignment="1">
      <alignment horizontal="right" vertical="top"/>
    </xf>
    <xf numFmtId="2" fontId="9" fillId="0" borderId="36" xfId="0" applyNumberFormat="1" applyFont="1" applyBorder="1" applyAlignment="1">
      <alignment horizontal="right" vertical="top"/>
    </xf>
    <xf numFmtId="2" fontId="9" fillId="0" borderId="36" xfId="0" applyNumberFormat="1" applyFont="1" applyBorder="1" applyAlignment="1">
      <alignment horizontal="right" vertical="top" wrapText="1"/>
    </xf>
    <xf numFmtId="2" fontId="9" fillId="5" borderId="36" xfId="0" applyNumberFormat="1" applyFont="1" applyFill="1" applyBorder="1" applyAlignment="1">
      <alignment horizontal="right" vertical="top"/>
    </xf>
    <xf numFmtId="2" fontId="9" fillId="0" borderId="18" xfId="0" applyNumberFormat="1" applyFont="1" applyBorder="1" applyAlignment="1">
      <alignment horizontal="right" vertical="top"/>
    </xf>
    <xf numFmtId="2" fontId="9" fillId="0" borderId="18" xfId="0" applyNumberFormat="1" applyFont="1" applyBorder="1" applyAlignment="1">
      <alignment horizontal="right" vertical="top" wrapText="1"/>
    </xf>
    <xf numFmtId="2" fontId="9" fillId="5" borderId="18" xfId="0" applyNumberFormat="1" applyFont="1" applyFill="1" applyBorder="1" applyAlignment="1">
      <alignment horizontal="right" vertical="top"/>
    </xf>
    <xf numFmtId="2" fontId="0" fillId="0" borderId="39" xfId="0" applyNumberFormat="1" applyBorder="1" applyAlignment="1">
      <alignment horizontal="right" vertical="top"/>
    </xf>
    <xf numFmtId="2" fontId="0" fillId="0" borderId="39" xfId="0" applyNumberFormat="1" applyBorder="1" applyAlignment="1">
      <alignment horizontal="right" vertical="top" wrapText="1"/>
    </xf>
    <xf numFmtId="2" fontId="0" fillId="5" borderId="39" xfId="0" applyNumberFormat="1" applyFill="1" applyBorder="1" applyAlignment="1">
      <alignment horizontal="right" vertical="top"/>
    </xf>
    <xf numFmtId="2" fontId="9" fillId="5" borderId="48" xfId="0" applyNumberFormat="1" applyFont="1" applyFill="1" applyBorder="1" applyAlignment="1">
      <alignment horizontal="right" vertical="top"/>
    </xf>
    <xf numFmtId="2" fontId="9" fillId="7" borderId="48" xfId="0" applyNumberFormat="1" applyFont="1" applyFill="1" applyBorder="1" applyAlignment="1">
      <alignment horizontal="right" vertical="top"/>
    </xf>
    <xf numFmtId="2" fontId="9" fillId="7" borderId="49" xfId="0" applyNumberFormat="1" applyFont="1" applyFill="1" applyBorder="1" applyAlignment="1">
      <alignment horizontal="right" vertical="top"/>
    </xf>
    <xf numFmtId="2" fontId="9" fillId="5" borderId="49" xfId="0" applyNumberFormat="1" applyFont="1" applyFill="1" applyBorder="1" applyAlignment="1">
      <alignment horizontal="right" vertical="top"/>
    </xf>
    <xf numFmtId="1" fontId="0" fillId="0" borderId="39" xfId="0" applyNumberFormat="1" applyBorder="1" applyAlignment="1">
      <alignment horizontal="right" vertical="top"/>
    </xf>
    <xf numFmtId="2" fontId="0" fillId="5" borderId="45" xfId="0" applyNumberFormat="1" applyFill="1" applyBorder="1" applyAlignment="1">
      <alignment horizontal="centerContinuous"/>
    </xf>
    <xf numFmtId="2" fontId="0" fillId="5" borderId="19" xfId="0" applyNumberFormat="1" applyFill="1" applyBorder="1" applyAlignment="1">
      <alignment horizontal="centerContinuous"/>
    </xf>
    <xf numFmtId="2" fontId="0" fillId="6" borderId="19" xfId="0" applyNumberFormat="1" applyFill="1" applyBorder="1" applyAlignment="1">
      <alignment horizontal="centerContinuous"/>
    </xf>
    <xf numFmtId="2" fontId="0" fillId="6" borderId="46" xfId="0" applyNumberFormat="1" applyFill="1" applyBorder="1" applyAlignment="1">
      <alignment horizontal="centerContinuous"/>
    </xf>
    <xf numFmtId="1" fontId="9" fillId="0" borderId="17" xfId="0" applyNumberFormat="1" applyFont="1" applyBorder="1" applyAlignment="1">
      <alignment horizontal="right" vertical="top"/>
    </xf>
    <xf numFmtId="1" fontId="9" fillId="0" borderId="36" xfId="0" applyNumberFormat="1" applyFont="1" applyBorder="1" applyAlignment="1">
      <alignment horizontal="right" vertical="top"/>
    </xf>
    <xf numFmtId="1" fontId="9" fillId="0" borderId="18" xfId="0" applyNumberFormat="1" applyFont="1" applyBorder="1" applyAlignment="1">
      <alignment horizontal="right" vertical="top"/>
    </xf>
    <xf numFmtId="10" fontId="9" fillId="0" borderId="17" xfId="0" applyNumberFormat="1" applyFont="1" applyBorder="1" applyAlignment="1">
      <alignment horizontal="right" vertical="top"/>
    </xf>
    <xf numFmtId="10" fontId="9" fillId="0" borderId="36" xfId="0" applyNumberFormat="1" applyFont="1" applyBorder="1" applyAlignment="1">
      <alignment horizontal="right" vertical="top"/>
    </xf>
    <xf numFmtId="10" fontId="9" fillId="0" borderId="18" xfId="0" applyNumberFormat="1" applyFont="1" applyBorder="1" applyAlignment="1">
      <alignment horizontal="right" vertical="top"/>
    </xf>
    <xf numFmtId="0" fontId="0" fillId="0" borderId="39" xfId="0" applyBorder="1" applyAlignment="1">
      <alignment horizontal="right" vertical="top"/>
    </xf>
    <xf numFmtId="2" fontId="8" fillId="6" borderId="46" xfId="0" applyNumberFormat="1" applyFont="1" applyFill="1" applyBorder="1" applyAlignment="1">
      <alignment horizontal="center" vertical="top"/>
    </xf>
    <xf numFmtId="0" fontId="9" fillId="5" borderId="32" xfId="0" applyFont="1" applyFill="1" applyBorder="1" applyAlignment="1">
      <alignment horizontal="left" vertical="center"/>
    </xf>
    <xf numFmtId="0" fontId="9" fillId="5" borderId="26" xfId="0" applyFont="1" applyFill="1" applyBorder="1" applyAlignment="1">
      <alignment horizontal="left" vertical="center"/>
    </xf>
    <xf numFmtId="0" fontId="9" fillId="0" borderId="24" xfId="0" applyFont="1" applyBorder="1" applyAlignment="1">
      <alignment vertical="center" wrapText="1"/>
    </xf>
    <xf numFmtId="0" fontId="9" fillId="0" borderId="25" xfId="0" applyFont="1" applyBorder="1" applyAlignment="1">
      <alignment vertical="center" wrapText="1"/>
    </xf>
    <xf numFmtId="0" fontId="9" fillId="0" borderId="36" xfId="0" applyFont="1" applyBorder="1" applyAlignment="1">
      <alignment horizontal="left" vertical="top" wrapText="1" indent="2"/>
    </xf>
    <xf numFmtId="0" fontId="0" fillId="0" borderId="91" xfId="0" applyBorder="1"/>
    <xf numFmtId="0" fontId="0" fillId="0" borderId="46" xfId="0" applyBorder="1"/>
    <xf numFmtId="0" fontId="0" fillId="0" borderId="42" xfId="0" applyBorder="1"/>
    <xf numFmtId="0" fontId="19" fillId="0" borderId="95" xfId="0" applyFont="1" applyBorder="1" applyAlignment="1">
      <alignment horizontal="left" vertical="top" wrapText="1"/>
    </xf>
    <xf numFmtId="0" fontId="19" fillId="0" borderId="96" xfId="0" applyFont="1" applyBorder="1" applyAlignment="1">
      <alignment horizontal="left" vertical="top" wrapText="1"/>
    </xf>
    <xf numFmtId="0" fontId="19" fillId="0" borderId="97" xfId="0" applyFont="1" applyBorder="1" applyAlignment="1">
      <alignment horizontal="left" vertical="top" wrapText="1"/>
    </xf>
    <xf numFmtId="0" fontId="19" fillId="0" borderId="98" xfId="0" applyFont="1" applyBorder="1" applyAlignment="1">
      <alignment horizontal="left" vertical="top" wrapText="1"/>
    </xf>
    <xf numFmtId="0" fontId="19" fillId="0" borderId="99" xfId="0" applyFont="1" applyBorder="1" applyAlignment="1">
      <alignment horizontal="left" vertical="top" wrapText="1"/>
    </xf>
    <xf numFmtId="0" fontId="19" fillId="0" borderId="0" xfId="0" applyFont="1" applyAlignment="1">
      <alignment horizontal="left" vertical="top" wrapText="1"/>
    </xf>
    <xf numFmtId="0" fontId="19" fillId="0" borderId="100" xfId="0" applyFont="1" applyBorder="1" applyAlignment="1" applyProtection="1">
      <alignment horizontal="left" vertical="top" wrapText="1"/>
      <protection locked="0"/>
    </xf>
    <xf numFmtId="0" fontId="19" fillId="0" borderId="101" xfId="0" applyFont="1" applyBorder="1" applyAlignment="1">
      <alignment horizontal="left" vertical="top" wrapText="1"/>
    </xf>
    <xf numFmtId="0" fontId="19" fillId="0" borderId="102" xfId="0" applyFont="1" applyBorder="1" applyAlignment="1">
      <alignment horizontal="left" vertical="top" wrapText="1"/>
    </xf>
    <xf numFmtId="0" fontId="19" fillId="0" borderId="103" xfId="0" applyFont="1" applyBorder="1" applyAlignment="1">
      <alignment horizontal="left" vertical="top" wrapText="1"/>
    </xf>
    <xf numFmtId="0" fontId="20" fillId="0" borderId="104" xfId="0" applyFont="1" applyBorder="1" applyAlignment="1" applyProtection="1">
      <alignment horizontal="left" vertical="top" wrapText="1"/>
      <protection locked="0"/>
    </xf>
    <xf numFmtId="0" fontId="19" fillId="17" borderId="105" xfId="0" applyFont="1" applyFill="1" applyBorder="1" applyAlignment="1">
      <alignment horizontal="left" vertical="top" wrapText="1"/>
    </xf>
    <xf numFmtId="0" fontId="19" fillId="17" borderId="106" xfId="0" applyFont="1" applyFill="1" applyBorder="1" applyAlignment="1">
      <alignment horizontal="left" vertical="top" wrapText="1"/>
    </xf>
    <xf numFmtId="0" fontId="20" fillId="16" borderId="104" xfId="0" applyFont="1" applyFill="1" applyBorder="1" applyAlignment="1" applyProtection="1">
      <alignment horizontal="left" vertical="top" wrapText="1"/>
      <protection locked="0"/>
    </xf>
    <xf numFmtId="0" fontId="19" fillId="0" borderId="100" xfId="0" applyFont="1" applyBorder="1" applyAlignment="1">
      <alignment horizontal="left" vertical="top" wrapText="1"/>
    </xf>
    <xf numFmtId="0" fontId="20" fillId="0" borderId="107" xfId="0" applyFont="1" applyBorder="1" applyAlignment="1" applyProtection="1">
      <alignment horizontal="left" vertical="top" wrapText="1"/>
      <protection locked="0"/>
    </xf>
    <xf numFmtId="0" fontId="8" fillId="0" borderId="36" xfId="0" applyFont="1" applyBorder="1" applyAlignment="1">
      <alignment horizontal="left" vertical="top" wrapText="1"/>
    </xf>
    <xf numFmtId="0" fontId="2" fillId="0" borderId="108" xfId="0" applyFont="1" applyBorder="1" applyAlignment="1">
      <alignment horizontal="left" indent="2"/>
    </xf>
    <xf numFmtId="2" fontId="9" fillId="18" borderId="48" xfId="0" applyNumberFormat="1" applyFont="1" applyFill="1" applyBorder="1" applyAlignment="1">
      <alignment horizontal="right" vertical="top"/>
    </xf>
    <xf numFmtId="167" fontId="9" fillId="19" borderId="70" xfId="0" applyNumberFormat="1" applyFont="1" applyFill="1" applyBorder="1" applyAlignment="1">
      <alignment horizontal="center" vertical="center"/>
    </xf>
    <xf numFmtId="167" fontId="9" fillId="19" borderId="71" xfId="0" applyNumberFormat="1" applyFont="1" applyFill="1" applyBorder="1" applyAlignment="1">
      <alignment horizontal="center" vertical="center"/>
    </xf>
    <xf numFmtId="167" fontId="9" fillId="19" borderId="36" xfId="0" applyNumberFormat="1" applyFont="1" applyFill="1" applyBorder="1" applyAlignment="1">
      <alignment horizontal="center" vertical="center"/>
    </xf>
    <xf numFmtId="167" fontId="9" fillId="21" borderId="51" xfId="0" applyNumberFormat="1" applyFont="1" applyFill="1" applyBorder="1" applyAlignment="1">
      <alignment horizontal="center" vertical="center"/>
    </xf>
    <xf numFmtId="167" fontId="9" fillId="21" borderId="36" xfId="0" applyNumberFormat="1" applyFont="1" applyFill="1" applyBorder="1" applyAlignment="1">
      <alignment horizontal="center" vertical="center"/>
    </xf>
    <xf numFmtId="167" fontId="9" fillId="22" borderId="51" xfId="0" applyNumberFormat="1" applyFont="1" applyFill="1" applyBorder="1" applyAlignment="1">
      <alignment horizontal="center" vertical="center"/>
    </xf>
    <xf numFmtId="167" fontId="9" fillId="22" borderId="36" xfId="0" applyNumberFormat="1" applyFont="1" applyFill="1" applyBorder="1" applyAlignment="1">
      <alignment horizontal="center" vertical="center"/>
    </xf>
    <xf numFmtId="167" fontId="9" fillId="23" borderId="70" xfId="0" applyNumberFormat="1" applyFont="1" applyFill="1" applyBorder="1" applyAlignment="1">
      <alignment horizontal="center" vertical="center"/>
    </xf>
    <xf numFmtId="167" fontId="9" fillId="23" borderId="51" xfId="0" applyNumberFormat="1" applyFont="1" applyFill="1" applyBorder="1" applyAlignment="1">
      <alignment horizontal="center" vertical="center"/>
    </xf>
    <xf numFmtId="167" fontId="9" fillId="23" borderId="36" xfId="0" applyNumberFormat="1" applyFont="1" applyFill="1" applyBorder="1" applyAlignment="1">
      <alignment horizontal="center" vertical="center"/>
    </xf>
    <xf numFmtId="167" fontId="9" fillId="23" borderId="71" xfId="0" applyNumberFormat="1" applyFont="1" applyFill="1" applyBorder="1" applyAlignment="1">
      <alignment horizontal="center" vertical="center"/>
    </xf>
    <xf numFmtId="0" fontId="9" fillId="0" borderId="36" xfId="0" applyFont="1" applyBorder="1" applyAlignment="1">
      <alignment horizontal="left" vertical="top" wrapText="1" indent="4"/>
    </xf>
    <xf numFmtId="0" fontId="8" fillId="0" borderId="36" xfId="0" applyFont="1" applyBorder="1" applyAlignment="1">
      <alignment horizontal="left" vertical="top" wrapText="1" indent="2"/>
    </xf>
    <xf numFmtId="0" fontId="9" fillId="20" borderId="35" xfId="0" applyFont="1" applyFill="1" applyBorder="1" applyAlignment="1">
      <alignment vertical="top"/>
    </xf>
    <xf numFmtId="0" fontId="9" fillId="20" borderId="36" xfId="0" applyFont="1" applyFill="1" applyBorder="1" applyAlignment="1">
      <alignment horizontal="left" vertical="top"/>
    </xf>
    <xf numFmtId="0" fontId="9" fillId="20" borderId="36" xfId="0" applyFont="1" applyFill="1" applyBorder="1" applyAlignment="1">
      <alignment horizontal="left" vertical="top" wrapText="1"/>
    </xf>
    <xf numFmtId="2" fontId="9" fillId="20" borderId="48" xfId="0" applyNumberFormat="1" applyFont="1" applyFill="1" applyBorder="1" applyAlignment="1">
      <alignment horizontal="right" vertical="top"/>
    </xf>
    <xf numFmtId="1" fontId="9" fillId="20" borderId="48" xfId="0" applyNumberFormat="1" applyFont="1" applyFill="1" applyBorder="1" applyAlignment="1">
      <alignment horizontal="right" vertical="top"/>
    </xf>
    <xf numFmtId="0" fontId="9" fillId="20" borderId="37" xfId="0" applyFont="1" applyFill="1" applyBorder="1" applyAlignment="1">
      <alignment horizontal="left" vertical="top" wrapText="1"/>
    </xf>
    <xf numFmtId="2" fontId="9" fillId="20" borderId="47" xfId="0" applyNumberFormat="1" applyFont="1" applyFill="1" applyBorder="1" applyAlignment="1">
      <alignment horizontal="right" vertical="top"/>
    </xf>
    <xf numFmtId="0" fontId="9" fillId="20" borderId="34" xfId="0" applyFont="1" applyFill="1" applyBorder="1" applyAlignment="1">
      <alignment horizontal="left" vertical="top" wrapText="1"/>
    </xf>
    <xf numFmtId="0" fontId="21" fillId="20" borderId="36" xfId="0" applyFont="1" applyFill="1" applyBorder="1" applyAlignment="1">
      <alignment horizontal="left" vertical="top"/>
    </xf>
    <xf numFmtId="0" fontId="18" fillId="20" borderId="36" xfId="0" applyFont="1" applyFill="1" applyBorder="1" applyAlignment="1">
      <alignment horizontal="left" vertical="top"/>
    </xf>
    <xf numFmtId="0" fontId="5" fillId="0" borderId="0" xfId="0" applyFont="1" applyAlignment="1" applyProtection="1">
      <alignment horizontal="left" vertical="top" wrapText="1"/>
      <protection locked="0"/>
    </xf>
    <xf numFmtId="49" fontId="5" fillId="0" borderId="0" xfId="0" applyNumberFormat="1" applyFont="1" applyAlignment="1" applyProtection="1">
      <alignment horizontal="left" vertical="top" wrapText="1"/>
      <protection locked="0"/>
    </xf>
    <xf numFmtId="0" fontId="19" fillId="0" borderId="0" xfId="0" applyFont="1" applyAlignment="1" applyProtection="1">
      <alignment horizontal="left" vertical="top" wrapText="1" indent="2"/>
      <protection locked="0"/>
    </xf>
    <xf numFmtId="0" fontId="6" fillId="0" borderId="0" xfId="0" applyFont="1" applyAlignment="1" applyProtection="1">
      <alignment horizontal="left" vertical="top" wrapText="1"/>
      <protection locked="0"/>
    </xf>
    <xf numFmtId="2" fontId="9" fillId="24" borderId="48" xfId="0" applyNumberFormat="1" applyFont="1" applyFill="1" applyBorder="1" applyAlignment="1">
      <alignment horizontal="right" vertical="top"/>
    </xf>
    <xf numFmtId="0" fontId="22" fillId="17" borderId="0" xfId="0" applyFont="1" applyFill="1" applyAlignment="1" applyProtection="1">
      <alignment horizontal="left" vertical="top" wrapText="1" indent="2"/>
      <protection locked="0"/>
    </xf>
    <xf numFmtId="0" fontId="5" fillId="0" borderId="0" xfId="0" applyFont="1" applyAlignment="1" applyProtection="1">
      <alignment horizontal="left" vertical="top" wrapText="1" indent="4"/>
      <protection locked="0"/>
    </xf>
    <xf numFmtId="0" fontId="19" fillId="0" borderId="0" xfId="0" applyFont="1" applyAlignment="1" applyProtection="1">
      <alignment horizontal="left" vertical="top" wrapText="1" indent="6"/>
      <protection locked="0"/>
    </xf>
    <xf numFmtId="0" fontId="23" fillId="0" borderId="0" xfId="0" applyFont="1" applyAlignment="1" applyProtection="1">
      <alignment horizontal="left" vertical="top" wrapText="1" indent="8"/>
      <protection locked="0"/>
    </xf>
    <xf numFmtId="0" fontId="23" fillId="0" borderId="0" xfId="0" applyFont="1" applyAlignment="1" applyProtection="1">
      <alignment horizontal="left" vertical="top" wrapText="1" indent="10"/>
      <protection locked="0"/>
    </xf>
    <xf numFmtId="49" fontId="5" fillId="17" borderId="0" xfId="0" applyNumberFormat="1" applyFont="1" applyFill="1" applyAlignment="1" applyProtection="1">
      <alignment horizontal="left" vertical="top" wrapText="1"/>
      <protection locked="0"/>
    </xf>
    <xf numFmtId="0" fontId="5" fillId="0" borderId="0" xfId="0" applyFont="1" applyAlignment="1" applyProtection="1">
      <alignment horizontal="center" vertical="top" wrapText="1"/>
      <protection locked="0"/>
    </xf>
    <xf numFmtId="0" fontId="0" fillId="18" borderId="0" xfId="0" applyFill="1"/>
    <xf numFmtId="0" fontId="0" fillId="0" borderId="0" xfId="0" pivotButton="1"/>
    <xf numFmtId="0" fontId="0" fillId="0" borderId="0" xfId="0" applyAlignment="1">
      <alignment horizontal="left"/>
    </xf>
    <xf numFmtId="0" fontId="9" fillId="18" borderId="36" xfId="0" applyFont="1" applyFill="1" applyBorder="1" applyAlignment="1">
      <alignment horizontal="left" vertical="top"/>
    </xf>
    <xf numFmtId="0" fontId="9" fillId="16" borderId="36" xfId="0" applyFont="1" applyFill="1" applyBorder="1" applyAlignment="1">
      <alignment horizontal="left" vertical="top" wrapText="1"/>
    </xf>
    <xf numFmtId="0" fontId="26" fillId="25" borderId="110" xfId="0" applyFont="1" applyFill="1" applyBorder="1" applyAlignment="1">
      <alignment vertical="center"/>
    </xf>
    <xf numFmtId="0" fontId="26" fillId="25" borderId="94" xfId="0" applyFont="1" applyFill="1" applyBorder="1" applyAlignment="1">
      <alignment vertical="center"/>
    </xf>
    <xf numFmtId="0" fontId="26" fillId="25" borderId="94" xfId="0" applyFont="1" applyFill="1" applyBorder="1" applyAlignment="1">
      <alignment vertical="center" wrapText="1"/>
    </xf>
    <xf numFmtId="0" fontId="27" fillId="0" borderId="111" xfId="0" applyFont="1" applyBorder="1" applyAlignment="1">
      <alignment vertical="center"/>
    </xf>
    <xf numFmtId="0" fontId="27" fillId="0" borderId="112" xfId="0" applyFont="1" applyBorder="1" applyAlignment="1">
      <alignment vertical="center"/>
    </xf>
    <xf numFmtId="0" fontId="27" fillId="0" borderId="112" xfId="0" applyFont="1" applyBorder="1" applyAlignment="1">
      <alignment vertical="center" wrapText="1"/>
    </xf>
    <xf numFmtId="0" fontId="27" fillId="0" borderId="0" xfId="0" applyFont="1" applyAlignment="1">
      <alignment vertical="center"/>
    </xf>
    <xf numFmtId="0" fontId="0" fillId="0" borderId="19" xfId="0" applyBorder="1"/>
    <xf numFmtId="0" fontId="0" fillId="0" borderId="18" xfId="0" applyBorder="1"/>
    <xf numFmtId="0" fontId="0" fillId="0" borderId="90" xfId="0" applyBorder="1"/>
    <xf numFmtId="2" fontId="9" fillId="26" borderId="48" xfId="0" applyNumberFormat="1" applyFont="1" applyFill="1" applyBorder="1" applyAlignment="1">
      <alignment horizontal="right" vertical="top"/>
    </xf>
    <xf numFmtId="0" fontId="0" fillId="26" borderId="0" xfId="0" applyFill="1" applyAlignment="1">
      <alignment horizontal="left"/>
    </xf>
    <xf numFmtId="0" fontId="0" fillId="0" borderId="113" xfId="0" applyBorder="1"/>
    <xf numFmtId="0" fontId="19" fillId="0" borderId="115" xfId="0" applyFont="1" applyBorder="1" applyAlignment="1" applyProtection="1">
      <alignment horizontal="left" vertical="top" wrapText="1"/>
      <protection locked="0"/>
    </xf>
    <xf numFmtId="0" fontId="19" fillId="0" borderId="114" xfId="0" applyFont="1" applyBorder="1" applyAlignment="1">
      <alignment horizontal="left" vertical="top" wrapText="1"/>
    </xf>
    <xf numFmtId="0" fontId="5" fillId="27" borderId="0" xfId="0" applyFont="1" applyFill="1" applyAlignment="1" applyProtection="1">
      <alignment horizontal="left" vertical="top"/>
      <protection locked="0"/>
    </xf>
    <xf numFmtId="0" fontId="5" fillId="0" borderId="0" xfId="0" applyFont="1" applyAlignment="1" applyProtection="1">
      <alignment horizontal="left" vertical="top" wrapText="1" indent="2"/>
      <protection locked="0"/>
    </xf>
    <xf numFmtId="10" fontId="0" fillId="0" borderId="0" xfId="0" applyNumberFormat="1"/>
    <xf numFmtId="14" fontId="0" fillId="0" borderId="0" xfId="0" applyNumberFormat="1"/>
    <xf numFmtId="9" fontId="0" fillId="0" borderId="0" xfId="0" applyNumberFormat="1"/>
    <xf numFmtId="0" fontId="9" fillId="7" borderId="37" xfId="0" applyFont="1" applyFill="1" applyBorder="1" applyAlignment="1">
      <alignment horizontal="left" vertical="top" wrapText="1"/>
    </xf>
    <xf numFmtId="167" fontId="9" fillId="18" borderId="71" xfId="0" applyNumberFormat="1" applyFont="1" applyFill="1" applyBorder="1" applyAlignment="1">
      <alignment horizontal="center" vertical="center"/>
    </xf>
    <xf numFmtId="167" fontId="9" fillId="18" borderId="70" xfId="0" applyNumberFormat="1" applyFont="1" applyFill="1" applyBorder="1" applyAlignment="1">
      <alignment horizontal="center" vertical="center"/>
    </xf>
    <xf numFmtId="167" fontId="9" fillId="18" borderId="36" xfId="0" applyNumberFormat="1" applyFont="1" applyFill="1" applyBorder="1" applyAlignment="1">
      <alignment horizontal="center" vertical="center"/>
    </xf>
    <xf numFmtId="0" fontId="0" fillId="0" borderId="0" xfId="0" applyAlignment="1">
      <alignment horizontal="center"/>
    </xf>
    <xf numFmtId="0" fontId="9" fillId="28" borderId="36" xfId="0" applyFont="1" applyFill="1" applyBorder="1" applyAlignment="1">
      <alignment vertical="top"/>
    </xf>
    <xf numFmtId="0" fontId="9" fillId="28" borderId="51" xfId="0" applyFont="1" applyFill="1" applyBorder="1" applyAlignment="1">
      <alignment horizontal="left" vertical="top"/>
    </xf>
    <xf numFmtId="0" fontId="9" fillId="28" borderId="36" xfId="0" applyFont="1" applyFill="1" applyBorder="1" applyAlignment="1">
      <alignment horizontal="left" vertical="top"/>
    </xf>
    <xf numFmtId="0" fontId="9" fillId="28" borderId="37" xfId="0" applyFont="1" applyFill="1" applyBorder="1" applyAlignment="1">
      <alignment horizontal="left" vertical="top" wrapText="1"/>
    </xf>
    <xf numFmtId="0" fontId="16" fillId="12" borderId="0" xfId="0" applyFont="1" applyFill="1" applyAlignment="1">
      <alignment wrapText="1"/>
    </xf>
    <xf numFmtId="0" fontId="9" fillId="12" borderId="35" xfId="0" applyFont="1" applyFill="1" applyBorder="1" applyAlignment="1">
      <alignment vertical="top"/>
    </xf>
    <xf numFmtId="2" fontId="9" fillId="19" borderId="71" xfId="0" applyNumberFormat="1" applyFont="1" applyFill="1" applyBorder="1" applyAlignment="1">
      <alignment horizontal="center" vertical="center"/>
    </xf>
    <xf numFmtId="2" fontId="9" fillId="23" borderId="36" xfId="0" applyNumberFormat="1" applyFont="1" applyFill="1" applyBorder="1" applyAlignment="1">
      <alignment horizontal="center" vertical="center"/>
    </xf>
    <xf numFmtId="2" fontId="9" fillId="21" borderId="36" xfId="0" applyNumberFormat="1" applyFont="1" applyFill="1" applyBorder="1" applyAlignment="1">
      <alignment horizontal="center" vertical="center"/>
    </xf>
    <xf numFmtId="2" fontId="9" fillId="22" borderId="36" xfId="0" applyNumberFormat="1" applyFont="1" applyFill="1" applyBorder="1" applyAlignment="1">
      <alignment horizontal="center" vertical="center"/>
    </xf>
    <xf numFmtId="2" fontId="9" fillId="23" borderId="71" xfId="0" applyNumberFormat="1" applyFont="1" applyFill="1" applyBorder="1" applyAlignment="1">
      <alignment horizontal="center" vertical="center"/>
    </xf>
    <xf numFmtId="9" fontId="0" fillId="0" borderId="113" xfId="157" applyFont="1" applyFill="1" applyBorder="1" applyAlignment="1">
      <alignment horizontal="left"/>
    </xf>
    <xf numFmtId="0" fontId="0" fillId="0" borderId="113" xfId="0" applyBorder="1" applyAlignment="1">
      <alignment horizontal="left"/>
    </xf>
    <xf numFmtId="9" fontId="0" fillId="0" borderId="0" xfId="157" applyFont="1" applyAlignment="1">
      <alignment horizontal="left"/>
    </xf>
    <xf numFmtId="167" fontId="9" fillId="7" borderId="71" xfId="0" applyNumberFormat="1" applyFont="1" applyFill="1" applyBorder="1" applyAlignment="1">
      <alignment horizontal="center" vertical="center"/>
    </xf>
    <xf numFmtId="0" fontId="8" fillId="4" borderId="109" xfId="0" applyFont="1" applyFill="1" applyBorder="1" applyAlignment="1">
      <alignment horizontal="left" vertical="center" wrapText="1"/>
    </xf>
    <xf numFmtId="0" fontId="8" fillId="4" borderId="76" xfId="0" applyFont="1" applyFill="1" applyBorder="1" applyAlignment="1">
      <alignment horizontal="left" vertical="center"/>
    </xf>
    <xf numFmtId="0" fontId="0" fillId="5" borderId="116" xfId="0" applyFill="1" applyBorder="1" applyAlignment="1">
      <alignment vertical="center"/>
    </xf>
    <xf numFmtId="0" fontId="19" fillId="0" borderId="95" xfId="156" applyFont="1" applyBorder="1" applyAlignment="1">
      <alignment horizontal="left" vertical="top" wrapText="1"/>
    </xf>
    <xf numFmtId="0" fontId="19" fillId="0" borderId="114" xfId="156" applyFont="1" applyBorder="1" applyAlignment="1">
      <alignment horizontal="left" vertical="top" wrapText="1"/>
    </xf>
    <xf numFmtId="0" fontId="19" fillId="0" borderId="96" xfId="156" applyFont="1" applyBorder="1" applyAlignment="1">
      <alignment horizontal="left" vertical="top" wrapText="1"/>
    </xf>
    <xf numFmtId="0" fontId="19" fillId="0" borderId="101" xfId="156" applyFont="1" applyBorder="1" applyAlignment="1">
      <alignment horizontal="left" vertical="top" wrapText="1"/>
    </xf>
    <xf numFmtId="0" fontId="19" fillId="0" borderId="115" xfId="0" applyFont="1" applyBorder="1" applyAlignment="1">
      <alignment horizontal="left" vertical="top" wrapText="1"/>
    </xf>
    <xf numFmtId="0" fontId="8" fillId="4" borderId="109" xfId="0" applyFont="1" applyFill="1" applyBorder="1" applyAlignment="1">
      <alignment horizontal="left" vertical="center"/>
    </xf>
    <xf numFmtId="0" fontId="8" fillId="4" borderId="118" xfId="0" applyFont="1" applyFill="1" applyBorder="1" applyAlignment="1">
      <alignment horizontal="left" vertical="center"/>
    </xf>
    <xf numFmtId="0" fontId="8" fillId="4" borderId="119" xfId="0" applyFont="1" applyFill="1" applyBorder="1" applyAlignment="1">
      <alignment horizontal="left" vertical="center" wrapText="1"/>
    </xf>
    <xf numFmtId="0" fontId="8" fillId="4" borderId="119" xfId="0" applyFont="1" applyFill="1" applyBorder="1" applyAlignment="1">
      <alignment horizontal="centerContinuous" vertical="center"/>
    </xf>
    <xf numFmtId="0" fontId="8" fillId="4" borderId="118" xfId="0" applyFont="1" applyFill="1" applyBorder="1" applyAlignment="1">
      <alignment horizontal="left" vertical="center" wrapText="1"/>
    </xf>
    <xf numFmtId="0" fontId="5" fillId="0" borderId="120" xfId="0" applyFont="1" applyBorder="1" applyAlignment="1">
      <alignment horizontal="left" vertical="top" wrapText="1"/>
    </xf>
    <xf numFmtId="0" fontId="5" fillId="0" borderId="121" xfId="0" applyFont="1" applyBorder="1" applyAlignment="1" applyProtection="1">
      <alignment horizontal="left" vertical="top" wrapText="1"/>
      <protection locked="0"/>
    </xf>
    <xf numFmtId="0" fontId="5" fillId="2" borderId="121" xfId="0" applyFont="1" applyFill="1" applyBorder="1" applyAlignment="1">
      <alignment horizontal="left" vertical="top" wrapText="1"/>
    </xf>
    <xf numFmtId="0" fontId="0" fillId="0" borderId="121" xfId="0" applyBorder="1" applyAlignment="1" applyProtection="1">
      <alignment horizontal="left" vertical="top" wrapText="1"/>
      <protection locked="0"/>
    </xf>
    <xf numFmtId="0" fontId="8" fillId="6" borderId="124" xfId="0" applyFont="1" applyFill="1" applyBorder="1" applyAlignment="1">
      <alignment horizontal="center" vertical="top"/>
    </xf>
    <xf numFmtId="0" fontId="8" fillId="4" borderId="119" xfId="0" applyFont="1" applyFill="1" applyBorder="1" applyAlignment="1">
      <alignment horizontal="left" vertical="top" wrapText="1"/>
    </xf>
    <xf numFmtId="0" fontId="8" fillId="4" borderId="109" xfId="0" applyFont="1" applyFill="1" applyBorder="1" applyAlignment="1">
      <alignment vertical="top"/>
    </xf>
    <xf numFmtId="0" fontId="8" fillId="4" borderId="109" xfId="0" applyFont="1" applyFill="1" applyBorder="1" applyAlignment="1">
      <alignment horizontal="left" vertical="top"/>
    </xf>
    <xf numFmtId="0" fontId="8" fillId="4" borderId="109" xfId="0" applyFont="1" applyFill="1" applyBorder="1" applyAlignment="1">
      <alignment horizontal="left" vertical="top" wrapText="1"/>
    </xf>
    <xf numFmtId="0" fontId="8" fillId="4" borderId="118" xfId="0" applyFont="1" applyFill="1" applyBorder="1" applyAlignment="1">
      <alignment horizontal="left" vertical="top"/>
    </xf>
    <xf numFmtId="0" fontId="8" fillId="5" borderId="122" xfId="0" applyFont="1" applyFill="1" applyBorder="1" applyAlignment="1">
      <alignment vertical="center"/>
    </xf>
    <xf numFmtId="0" fontId="8" fillId="5" borderId="125" xfId="0" applyFont="1" applyFill="1" applyBorder="1" applyAlignment="1">
      <alignment vertical="center"/>
    </xf>
    <xf numFmtId="0" fontId="9" fillId="5" borderId="125" xfId="0" applyFont="1" applyFill="1" applyBorder="1"/>
    <xf numFmtId="0" fontId="9" fillId="5" borderId="124" xfId="0" applyFont="1" applyFill="1" applyBorder="1"/>
    <xf numFmtId="167" fontId="9" fillId="5" borderId="126" xfId="0" applyNumberFormat="1" applyFont="1" applyFill="1" applyBorder="1" applyAlignment="1">
      <alignment horizontal="center" vertical="center"/>
    </xf>
    <xf numFmtId="2" fontId="9" fillId="5" borderId="126" xfId="0" applyNumberFormat="1" applyFont="1" applyFill="1" applyBorder="1" applyAlignment="1">
      <alignment horizontal="right" vertical="center"/>
    </xf>
    <xf numFmtId="0" fontId="8" fillId="4" borderId="122" xfId="0" applyFont="1" applyFill="1" applyBorder="1" applyAlignment="1">
      <alignment vertical="center"/>
    </xf>
    <xf numFmtId="0" fontId="8" fillId="4" borderId="125" xfId="0" applyFont="1" applyFill="1" applyBorder="1" applyAlignment="1">
      <alignment vertical="center"/>
    </xf>
    <xf numFmtId="0" fontId="8" fillId="4" borderId="125" xfId="0" applyFont="1" applyFill="1" applyBorder="1"/>
    <xf numFmtId="0" fontId="8" fillId="4" borderId="124" xfId="0" applyFont="1" applyFill="1" applyBorder="1"/>
    <xf numFmtId="167" fontId="8" fillId="4" borderId="126" xfId="0" applyNumberFormat="1" applyFont="1" applyFill="1" applyBorder="1" applyAlignment="1">
      <alignment horizontal="center" vertical="center"/>
    </xf>
    <xf numFmtId="2" fontId="8" fillId="4" borderId="126" xfId="0" applyNumberFormat="1" applyFont="1" applyFill="1" applyBorder="1" applyAlignment="1">
      <alignment horizontal="right" vertical="center"/>
    </xf>
    <xf numFmtId="2" fontId="9" fillId="5" borderId="127" xfId="0" applyNumberFormat="1" applyFont="1" applyFill="1" applyBorder="1" applyAlignment="1">
      <alignment vertical="center"/>
    </xf>
    <xf numFmtId="2" fontId="9" fillId="5" borderId="128" xfId="0" applyNumberFormat="1" applyFont="1" applyFill="1" applyBorder="1" applyAlignment="1">
      <alignment vertical="center"/>
    </xf>
    <xf numFmtId="0" fontId="8" fillId="4" borderId="129" xfId="0" applyFont="1" applyFill="1" applyBorder="1" applyAlignment="1">
      <alignment vertical="center"/>
    </xf>
    <xf numFmtId="2" fontId="9" fillId="5" borderId="130" xfId="0" applyNumberFormat="1" applyFont="1" applyFill="1" applyBorder="1" applyAlignment="1">
      <alignment vertical="center"/>
    </xf>
    <xf numFmtId="167" fontId="9" fillId="5" borderId="130" xfId="0" applyNumberFormat="1" applyFont="1" applyFill="1" applyBorder="1" applyAlignment="1">
      <alignment vertical="center"/>
    </xf>
    <xf numFmtId="0" fontId="9" fillId="0" borderId="27" xfId="0" applyFont="1" applyBorder="1" applyAlignment="1">
      <alignment horizontal="left" vertical="top" wrapText="1"/>
    </xf>
    <xf numFmtId="0" fontId="0" fillId="0" borderId="18" xfId="0" applyBorder="1" applyAlignment="1"/>
    <xf numFmtId="0" fontId="8" fillId="4" borderId="16" xfId="0" applyFont="1" applyFill="1" applyBorder="1" applyAlignment="1">
      <alignment vertical="center"/>
    </xf>
    <xf numFmtId="0" fontId="8" fillId="4" borderId="15" xfId="0" applyFont="1" applyFill="1" applyBorder="1" applyAlignment="1">
      <alignment vertical="center"/>
    </xf>
    <xf numFmtId="0" fontId="9" fillId="0" borderId="26" xfId="0" applyFont="1" applyBorder="1" applyAlignment="1">
      <alignment horizontal="left" vertical="top" wrapText="1"/>
    </xf>
    <xf numFmtId="0" fontId="9" fillId="0" borderId="27" xfId="0" applyFont="1" applyBorder="1" applyAlignment="1">
      <alignment horizontal="left" vertical="top" wrapText="1"/>
    </xf>
    <xf numFmtId="0" fontId="9" fillId="0" borderId="28" xfId="0" applyFont="1" applyBorder="1" applyAlignment="1">
      <alignment horizontal="left" vertical="top"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24" xfId="0" applyFont="1" applyBorder="1" applyAlignment="1">
      <alignment vertical="center" wrapText="1"/>
    </xf>
    <xf numFmtId="0" fontId="9" fillId="0" borderId="25" xfId="0" applyFont="1" applyBorder="1" applyAlignment="1">
      <alignment vertical="center" wrapText="1"/>
    </xf>
    <xf numFmtId="0" fontId="9" fillId="0" borderId="0" xfId="0" applyFont="1" applyAlignment="1">
      <alignment horizontal="justify" vertical="top" wrapText="1"/>
    </xf>
    <xf numFmtId="0" fontId="8" fillId="0" borderId="20" xfId="0" applyFont="1" applyBorder="1" applyAlignment="1">
      <alignment vertical="center" wrapText="1"/>
    </xf>
    <xf numFmtId="0" fontId="8" fillId="0" borderId="21" xfId="0" applyFont="1" applyBorder="1" applyAlignment="1">
      <alignment vertical="center" wrapText="1"/>
    </xf>
    <xf numFmtId="0" fontId="0" fillId="0" borderId="45" xfId="0" applyBorder="1" applyAlignment="1"/>
    <xf numFmtId="0" fontId="0" fillId="0" borderId="19" xfId="0" applyBorder="1" applyAlignment="1"/>
    <xf numFmtId="0" fontId="0" fillId="0" borderId="41" xfId="0" applyBorder="1" applyAlignment="1"/>
    <xf numFmtId="0" fontId="0" fillId="0" borderId="18" xfId="0" applyBorder="1" applyAlignment="1"/>
    <xf numFmtId="0" fontId="8" fillId="4" borderId="117" xfId="0" applyFont="1" applyFill="1" applyBorder="1" applyAlignment="1">
      <alignment vertical="center"/>
    </xf>
    <xf numFmtId="0" fontId="8" fillId="4" borderId="109" xfId="0" applyFont="1" applyFill="1" applyBorder="1" applyAlignment="1">
      <alignment vertical="center"/>
    </xf>
    <xf numFmtId="0" fontId="9" fillId="5" borderId="29" xfId="0" applyFont="1" applyFill="1" applyBorder="1" applyAlignment="1">
      <alignment vertical="center"/>
    </xf>
    <xf numFmtId="0" fontId="9" fillId="5" borderId="30" xfId="0" applyFont="1" applyFill="1" applyBorder="1" applyAlignment="1">
      <alignment vertical="center"/>
    </xf>
    <xf numFmtId="0" fontId="9" fillId="5" borderId="31" xfId="0" applyFont="1" applyFill="1" applyBorder="1" applyAlignment="1">
      <alignment vertical="center"/>
    </xf>
    <xf numFmtId="0" fontId="0" fillId="0" borderId="89" xfId="0" applyBorder="1" applyAlignment="1"/>
    <xf numFmtId="0" fontId="0" fillId="0" borderId="90" xfId="0" applyBorder="1" applyAlignment="1"/>
    <xf numFmtId="0" fontId="8" fillId="4" borderId="109" xfId="0" applyFont="1" applyFill="1" applyBorder="1" applyAlignment="1">
      <alignment horizontal="left" vertical="center" wrapText="1"/>
    </xf>
    <xf numFmtId="0" fontId="8" fillId="4" borderId="90" xfId="0" applyFont="1" applyFill="1" applyBorder="1" applyAlignment="1">
      <alignment horizontal="left" vertical="center" wrapText="1"/>
    </xf>
    <xf numFmtId="0" fontId="8" fillId="4" borderId="122" xfId="0" applyFont="1" applyFill="1" applyBorder="1" applyAlignment="1">
      <alignment vertical="top" wrapText="1"/>
    </xf>
    <xf numFmtId="0" fontId="8" fillId="4" borderId="123" xfId="0" applyFont="1" applyFill="1" applyBorder="1" applyAlignment="1">
      <alignment vertical="top"/>
    </xf>
    <xf numFmtId="0" fontId="0" fillId="0" borderId="92" xfId="0" applyBorder="1" applyAlignment="1">
      <alignment horizontal="center"/>
    </xf>
    <xf numFmtId="0" fontId="0" fillId="0" borderId="93" xfId="0" applyBorder="1" applyAlignment="1">
      <alignment horizontal="center"/>
    </xf>
    <xf numFmtId="0" fontId="0" fillId="0" borderId="94" xfId="0" applyBorder="1" applyAlignment="1">
      <alignment horizontal="center"/>
    </xf>
    <xf numFmtId="0" fontId="9" fillId="22" borderId="92" xfId="0" applyFont="1" applyFill="1" applyBorder="1" applyAlignment="1">
      <alignment horizontal="center" vertical="top"/>
    </xf>
    <xf numFmtId="0" fontId="9" fillId="22" borderId="94" xfId="0" applyFont="1" applyFill="1" applyBorder="1" applyAlignment="1">
      <alignment horizontal="center" vertical="top"/>
    </xf>
    <xf numFmtId="0" fontId="9" fillId="0" borderId="0" xfId="0" applyFont="1" applyAlignment="1">
      <alignment horizontal="justify" vertical="top"/>
    </xf>
    <xf numFmtId="0" fontId="9" fillId="19" borderId="92" xfId="0" applyFont="1" applyFill="1" applyBorder="1" applyAlignment="1">
      <alignment horizontal="center" vertical="top"/>
    </xf>
    <xf numFmtId="0" fontId="9" fillId="19" borderId="93" xfId="0" applyFont="1" applyFill="1" applyBorder="1" applyAlignment="1">
      <alignment horizontal="center" vertical="top"/>
    </xf>
    <xf numFmtId="0" fontId="9" fillId="19" borderId="94" xfId="0" applyFont="1" applyFill="1" applyBorder="1" applyAlignment="1">
      <alignment horizontal="center" vertical="top"/>
    </xf>
    <xf numFmtId="0" fontId="9" fillId="23" borderId="92" xfId="0" applyFont="1" applyFill="1" applyBorder="1" applyAlignment="1">
      <alignment horizontal="center" vertical="top"/>
    </xf>
    <xf numFmtId="0" fontId="9" fillId="23" borderId="93" xfId="0" applyFont="1" applyFill="1" applyBorder="1" applyAlignment="1">
      <alignment horizontal="center" vertical="top"/>
    </xf>
    <xf numFmtId="0" fontId="9" fillId="23" borderId="94" xfId="0" applyFont="1" applyFill="1" applyBorder="1" applyAlignment="1">
      <alignment horizontal="center" vertical="top"/>
    </xf>
    <xf numFmtId="0" fontId="0" fillId="19" borderId="92" xfId="0" applyFill="1" applyBorder="1" applyAlignment="1">
      <alignment horizontal="center"/>
    </xf>
    <xf numFmtId="0" fontId="0" fillId="19" borderId="93" xfId="0" applyFill="1" applyBorder="1" applyAlignment="1">
      <alignment horizontal="center"/>
    </xf>
    <xf numFmtId="0" fontId="0" fillId="19" borderId="94" xfId="0" applyFill="1" applyBorder="1" applyAlignment="1">
      <alignment horizontal="center"/>
    </xf>
    <xf numFmtId="0" fontId="0" fillId="23" borderId="92" xfId="0" applyFill="1" applyBorder="1" applyAlignment="1">
      <alignment horizontal="center"/>
    </xf>
    <xf numFmtId="0" fontId="0" fillId="23" borderId="93" xfId="0" applyFill="1" applyBorder="1" applyAlignment="1">
      <alignment horizontal="center"/>
    </xf>
    <xf numFmtId="0" fontId="0" fillId="23" borderId="94" xfId="0" applyFill="1" applyBorder="1" applyAlignment="1">
      <alignment horizontal="center"/>
    </xf>
    <xf numFmtId="0" fontId="0" fillId="21" borderId="92" xfId="0" applyFill="1" applyBorder="1" applyAlignment="1">
      <alignment horizontal="center"/>
    </xf>
    <xf numFmtId="0" fontId="0" fillId="21" borderId="93" xfId="0" applyFill="1" applyBorder="1" applyAlignment="1">
      <alignment horizontal="center"/>
    </xf>
    <xf numFmtId="0" fontId="0" fillId="21" borderId="94" xfId="0" applyFill="1" applyBorder="1" applyAlignment="1">
      <alignment horizontal="center"/>
    </xf>
    <xf numFmtId="0" fontId="0" fillId="22" borderId="92" xfId="0" applyFill="1" applyBorder="1" applyAlignment="1">
      <alignment horizontal="center"/>
    </xf>
    <xf numFmtId="0" fontId="0" fillId="22" borderId="93" xfId="0" applyFill="1" applyBorder="1" applyAlignment="1">
      <alignment horizontal="center"/>
    </xf>
    <xf numFmtId="0" fontId="0" fillId="22" borderId="94" xfId="0" applyFill="1" applyBorder="1" applyAlignment="1">
      <alignment horizontal="center"/>
    </xf>
    <xf numFmtId="0" fontId="9" fillId="21" borderId="92" xfId="0" applyFont="1" applyFill="1" applyBorder="1" applyAlignment="1">
      <alignment horizontal="center" vertical="top"/>
    </xf>
    <xf numFmtId="0" fontId="9" fillId="21" borderId="93" xfId="0" applyFont="1" applyFill="1" applyBorder="1" applyAlignment="1">
      <alignment horizontal="center" vertical="top"/>
    </xf>
    <xf numFmtId="0" fontId="9" fillId="21" borderId="94" xfId="0" applyFont="1" applyFill="1" applyBorder="1" applyAlignment="1">
      <alignment horizontal="center" vertical="top"/>
    </xf>
    <xf numFmtId="0" fontId="9" fillId="22" borderId="93" xfId="0" applyFont="1" applyFill="1" applyBorder="1" applyAlignment="1">
      <alignment horizontal="center" vertical="top"/>
    </xf>
    <xf numFmtId="0" fontId="0" fillId="0" borderId="0" xfId="0" applyAlignment="1">
      <alignment vertical="top" wrapText="1"/>
    </xf>
    <xf numFmtId="0" fontId="8" fillId="4" borderId="54" xfId="0" applyFont="1" applyFill="1" applyBorder="1" applyAlignment="1">
      <alignment horizontal="center" vertical="top"/>
    </xf>
    <xf numFmtId="0" fontId="8" fillId="4" borderId="44" xfId="0" applyFont="1" applyFill="1" applyBorder="1" applyAlignment="1">
      <alignment horizontal="center" vertical="top"/>
    </xf>
    <xf numFmtId="0" fontId="9" fillId="6" borderId="0" xfId="0" applyFont="1" applyFill="1" applyAlignment="1">
      <alignment horizontal="center" vertical="center" textRotation="180" wrapText="1"/>
    </xf>
    <xf numFmtId="0" fontId="18" fillId="7" borderId="0" xfId="0" applyFont="1" applyFill="1" applyAlignment="1">
      <alignment horizontal="center" vertical="center"/>
    </xf>
    <xf numFmtId="0" fontId="18" fillId="4" borderId="0" xfId="0" applyFont="1" applyFill="1" applyAlignment="1">
      <alignment horizontal="center" vertical="center"/>
    </xf>
    <xf numFmtId="0" fontId="8" fillId="12" borderId="0" xfId="0" applyFont="1" applyFill="1" applyAlignment="1">
      <alignment horizontal="center" vertical="center"/>
    </xf>
    <xf numFmtId="0" fontId="9" fillId="6" borderId="0" xfId="0" applyFont="1" applyFill="1" applyAlignment="1">
      <alignment horizontal="center" vertical="center" wrapText="1"/>
    </xf>
    <xf numFmtId="0" fontId="0" fillId="0" borderId="0" xfId="0" applyAlignment="1">
      <alignment horizontal="left" wrapText="1"/>
    </xf>
    <xf numFmtId="0" fontId="0" fillId="0" borderId="0" xfId="0" applyAlignment="1">
      <alignment horizontal="center"/>
    </xf>
    <xf numFmtId="0" fontId="9" fillId="0" borderId="0" xfId="0" applyFont="1" applyBorder="1" applyAlignment="1">
      <alignment vertical="center" wrapText="1"/>
    </xf>
    <xf numFmtId="0" fontId="9" fillId="0" borderId="70" xfId="0" applyFont="1" applyBorder="1" applyAlignment="1">
      <alignment vertical="center" wrapText="1"/>
    </xf>
    <xf numFmtId="2" fontId="0" fillId="0" borderId="51" xfId="0" applyNumberFormat="1" applyBorder="1"/>
    <xf numFmtId="0" fontId="19" fillId="0" borderId="131" xfId="0" applyFont="1" applyBorder="1" applyAlignment="1">
      <alignment horizontal="left" vertical="top" wrapText="1"/>
    </xf>
    <xf numFmtId="0" fontId="19" fillId="0" borderId="121" xfId="0" applyFont="1" applyBorder="1" applyAlignment="1">
      <alignment horizontal="left" vertical="top" wrapText="1"/>
    </xf>
    <xf numFmtId="0" fontId="19" fillId="0" borderId="132" xfId="0" applyFont="1" applyBorder="1" applyAlignment="1">
      <alignment horizontal="left" vertical="top" wrapText="1"/>
    </xf>
    <xf numFmtId="0" fontId="19" fillId="0" borderId="133" xfId="0" applyFont="1" applyBorder="1" applyAlignment="1">
      <alignment horizontal="left" vertical="top" wrapText="1"/>
    </xf>
    <xf numFmtId="0" fontId="19" fillId="0" borderId="134" xfId="0" applyFont="1" applyBorder="1" applyAlignment="1" applyProtection="1">
      <alignment horizontal="left" vertical="top" wrapText="1"/>
      <protection locked="0"/>
    </xf>
    <xf numFmtId="2" fontId="0" fillId="0" borderId="0" xfId="0" applyNumberFormat="1" applyBorder="1"/>
    <xf numFmtId="0" fontId="9" fillId="0" borderId="0" xfId="0" applyFont="1" applyBorder="1" applyAlignment="1">
      <alignment horizontal="left" vertical="top" wrapText="1"/>
    </xf>
    <xf numFmtId="0" fontId="1" fillId="0" borderId="0" xfId="0" applyFont="1" applyAlignment="1">
      <alignment vertical="center"/>
    </xf>
    <xf numFmtId="0" fontId="11" fillId="18" borderId="0" xfId="0" applyFont="1" applyFill="1" applyAlignment="1">
      <alignment horizontal="left" vertical="top" wrapText="1"/>
    </xf>
    <xf numFmtId="0" fontId="20" fillId="18" borderId="104" xfId="0" applyFont="1" applyFill="1" applyBorder="1" applyAlignment="1" applyProtection="1">
      <alignment horizontal="left" vertical="top" wrapText="1"/>
      <protection locked="0"/>
    </xf>
    <xf numFmtId="0" fontId="32" fillId="0" borderId="26" xfId="0" applyFont="1" applyBorder="1" applyAlignment="1">
      <alignment horizontal="left" vertical="top" wrapText="1"/>
    </xf>
    <xf numFmtId="0" fontId="32" fillId="0" borderId="27" xfId="0" applyFont="1" applyBorder="1" applyAlignment="1">
      <alignment horizontal="left" vertical="top" wrapText="1"/>
    </xf>
    <xf numFmtId="0" fontId="32" fillId="0" borderId="28" xfId="0" applyFont="1" applyBorder="1" applyAlignment="1">
      <alignment horizontal="left" vertical="top" wrapText="1"/>
    </xf>
    <xf numFmtId="0" fontId="33" fillId="0" borderId="26" xfId="0" applyFont="1" applyBorder="1" applyAlignment="1">
      <alignment horizontal="left" vertical="top" wrapText="1"/>
    </xf>
    <xf numFmtId="0" fontId="33" fillId="0" borderId="27" xfId="0" applyFont="1" applyBorder="1" applyAlignment="1">
      <alignment horizontal="left" vertical="top" wrapText="1"/>
    </xf>
    <xf numFmtId="0" fontId="33" fillId="0" borderId="28" xfId="0" applyFont="1" applyBorder="1" applyAlignment="1">
      <alignment horizontal="left" vertical="top" wrapText="1"/>
    </xf>
    <xf numFmtId="0" fontId="1" fillId="18" borderId="0" xfId="0" applyFont="1" applyFill="1" applyAlignment="1">
      <alignment vertical="center" wrapText="1"/>
    </xf>
    <xf numFmtId="0" fontId="0" fillId="18" borderId="0" xfId="0" applyFill="1" applyAlignment="1">
      <alignment wrapText="1"/>
    </xf>
    <xf numFmtId="0" fontId="0" fillId="16" borderId="0" xfId="0" applyFill="1" applyAlignment="1">
      <alignment wrapText="1"/>
    </xf>
    <xf numFmtId="0" fontId="0" fillId="18" borderId="0" xfId="0" applyFill="1" applyAlignment="1">
      <alignment horizontal="left" vertical="top" wrapText="1"/>
    </xf>
    <xf numFmtId="0" fontId="0" fillId="18" borderId="11" xfId="0" applyFill="1" applyBorder="1" applyAlignment="1">
      <alignment vertical="center"/>
    </xf>
    <xf numFmtId="0" fontId="0" fillId="0" borderId="135" xfId="0" applyFill="1" applyBorder="1" applyAlignment="1">
      <alignment vertical="center"/>
    </xf>
    <xf numFmtId="0" fontId="9" fillId="0" borderId="136" xfId="0" applyFont="1" applyBorder="1" applyAlignment="1">
      <alignment vertical="center" wrapText="1"/>
    </xf>
    <xf numFmtId="0" fontId="9" fillId="0" borderId="137" xfId="0" applyFont="1" applyBorder="1" applyAlignment="1">
      <alignment vertical="center" wrapText="1"/>
    </xf>
    <xf numFmtId="0" fontId="33" fillId="0" borderId="138" xfId="0" applyFont="1" applyBorder="1" applyAlignment="1">
      <alignment horizontal="left" vertical="top" wrapText="1"/>
    </xf>
    <xf numFmtId="0" fontId="33" fillId="0" borderId="40" xfId="0" applyFont="1" applyBorder="1" applyAlignment="1">
      <alignment horizontal="left" vertical="top" wrapText="1"/>
    </xf>
    <xf numFmtId="0" fontId="20" fillId="0" borderId="115" xfId="0" applyFont="1" applyBorder="1" applyAlignment="1">
      <alignment horizontal="left" vertical="top" wrapText="1"/>
    </xf>
    <xf numFmtId="0" fontId="35" fillId="0" borderId="41" xfId="0" applyFont="1" applyBorder="1" applyAlignment="1"/>
    <xf numFmtId="0" fontId="35" fillId="0" borderId="18" xfId="0" applyFont="1" applyBorder="1" applyAlignment="1"/>
    <xf numFmtId="0" fontId="0" fillId="0" borderId="0" xfId="0" applyFont="1"/>
    <xf numFmtId="0" fontId="36" fillId="0" borderId="26" xfId="0" applyFont="1" applyBorder="1" applyAlignment="1">
      <alignment horizontal="left" vertical="top" wrapText="1"/>
    </xf>
    <xf numFmtId="0" fontId="36" fillId="0" borderId="27" xfId="0" applyFont="1" applyBorder="1" applyAlignment="1">
      <alignment horizontal="left" vertical="top" wrapText="1"/>
    </xf>
    <xf numFmtId="0" fontId="36" fillId="0" borderId="28" xfId="0" applyFont="1" applyBorder="1" applyAlignment="1">
      <alignment horizontal="left" vertical="top" wrapText="1"/>
    </xf>
    <xf numFmtId="0" fontId="35" fillId="0" borderId="45" xfId="0" applyFont="1" applyBorder="1" applyAlignment="1"/>
    <xf numFmtId="0" fontId="35" fillId="0" borderId="19" xfId="0" applyFont="1" applyBorder="1" applyAlignment="1"/>
    <xf numFmtId="0" fontId="30" fillId="0" borderId="0" xfId="0" applyFont="1" applyAlignment="1">
      <alignment vertical="center"/>
    </xf>
    <xf numFmtId="0" fontId="35" fillId="0" borderId="18" xfId="0" applyFont="1" applyBorder="1" applyAlignment="1"/>
    <xf numFmtId="0" fontId="31" fillId="0" borderId="0" xfId="0" applyFont="1" applyAlignment="1">
      <alignment vertical="center"/>
    </xf>
    <xf numFmtId="0" fontId="20" fillId="0" borderId="139" xfId="0" applyFont="1" applyBorder="1" applyAlignment="1" applyProtection="1">
      <alignment horizontal="left" vertical="top" wrapText="1"/>
      <protection locked="0"/>
    </xf>
    <xf numFmtId="0" fontId="19" fillId="17" borderId="140" xfId="0" applyFont="1" applyFill="1" applyBorder="1" applyAlignment="1">
      <alignment horizontal="left" vertical="top" wrapText="1"/>
    </xf>
    <xf numFmtId="0" fontId="19" fillId="17" borderId="141" xfId="0" applyFont="1" applyFill="1" applyBorder="1" applyAlignment="1">
      <alignment horizontal="left" vertical="top" wrapText="1"/>
    </xf>
    <xf numFmtId="0" fontId="31" fillId="18" borderId="0" xfId="0" applyFont="1" applyFill="1" applyAlignment="1">
      <alignment horizontal="left" vertical="top" wrapText="1"/>
    </xf>
    <xf numFmtId="0" fontId="37" fillId="0" borderId="41" xfId="0" applyFont="1" applyBorder="1" applyAlignment="1"/>
    <xf numFmtId="0" fontId="37" fillId="0" borderId="18" xfId="0" applyFont="1" applyBorder="1" applyAlignment="1"/>
    <xf numFmtId="0" fontId="37" fillId="0" borderId="45" xfId="0" applyFont="1" applyBorder="1" applyAlignment="1"/>
    <xf numFmtId="0" fontId="37" fillId="0" borderId="19" xfId="0" applyFont="1" applyBorder="1" applyAlignment="1"/>
    <xf numFmtId="0" fontId="11" fillId="0" borderId="0" xfId="0" applyFont="1" applyAlignment="1">
      <alignment wrapText="1"/>
    </xf>
    <xf numFmtId="0" fontId="39" fillId="0" borderId="0" xfId="0" applyFont="1" applyAlignment="1">
      <alignment vertical="center"/>
    </xf>
    <xf numFmtId="0" fontId="37" fillId="0" borderId="18" xfId="0" applyFont="1" applyBorder="1" applyAlignment="1"/>
    <xf numFmtId="0" fontId="40" fillId="0" borderId="0" xfId="0" applyFont="1" applyAlignment="1">
      <alignment vertical="center" wrapText="1"/>
    </xf>
    <xf numFmtId="0" fontId="38" fillId="0" borderId="18" xfId="0" applyFont="1" applyBorder="1" applyAlignment="1">
      <alignment wrapText="1"/>
    </xf>
    <xf numFmtId="0" fontId="0" fillId="18" borderId="11" xfId="0" applyFill="1" applyBorder="1" applyAlignment="1">
      <alignment vertical="center" wrapText="1"/>
    </xf>
    <xf numFmtId="0" fontId="0" fillId="0" borderId="84" xfId="0" applyBorder="1" applyAlignment="1"/>
    <xf numFmtId="0" fontId="0" fillId="0" borderId="142" xfId="0" applyBorder="1" applyAlignment="1"/>
    <xf numFmtId="0" fontId="0" fillId="0" borderId="25" xfId="0" applyBorder="1" applyAlignment="1"/>
    <xf numFmtId="0" fontId="42" fillId="0" borderId="0" xfId="0" applyFont="1" applyAlignment="1">
      <alignment horizontal="left"/>
    </xf>
  </cellXfs>
  <cellStyles count="158">
    <cellStyle name="%" xfId="156" xr:uid="{00000000-0005-0000-0000-000000000000}"/>
    <cellStyle name="Date" xfId="150" xr:uid="{00000000-0005-0000-0000-000001000000}"/>
    <cellStyle name="Euro" xfId="151" xr:uid="{00000000-0005-0000-0000-000002000000}"/>
    <cellStyle name="Followed Hyperlink" xfId="74" builtinId="9" hidden="1"/>
    <cellStyle name="Followed Hyperlink" xfId="78" builtinId="9" hidden="1"/>
    <cellStyle name="Followed Hyperlink" xfId="82" builtinId="9" hidden="1"/>
    <cellStyle name="Followed Hyperlink" xfId="86" builtinId="9" hidden="1"/>
    <cellStyle name="Followed Hyperlink" xfId="90" builtinId="9" hidden="1"/>
    <cellStyle name="Followed Hyperlink" xfId="94" builtinId="9" hidden="1"/>
    <cellStyle name="Followed Hyperlink" xfId="98" builtinId="9" hidden="1"/>
    <cellStyle name="Followed Hyperlink" xfId="102" builtinId="9" hidden="1"/>
    <cellStyle name="Followed Hyperlink" xfId="106" builtinId="9" hidden="1"/>
    <cellStyle name="Followed Hyperlink" xfId="110" builtinId="9" hidden="1"/>
    <cellStyle name="Followed Hyperlink" xfId="114" builtinId="9" hidden="1"/>
    <cellStyle name="Followed Hyperlink" xfId="118" builtinId="9" hidden="1"/>
    <cellStyle name="Followed Hyperlink" xfId="122" builtinId="9" hidden="1"/>
    <cellStyle name="Followed Hyperlink" xfId="126" builtinId="9" hidden="1"/>
    <cellStyle name="Followed Hyperlink" xfId="130" builtinId="9" hidden="1"/>
    <cellStyle name="Followed Hyperlink" xfId="134" builtinId="9" hidden="1"/>
    <cellStyle name="Followed Hyperlink" xfId="138" builtinId="9" hidden="1"/>
    <cellStyle name="Followed Hyperlink" xfId="142" builtinId="9" hidden="1"/>
    <cellStyle name="Followed Hyperlink" xfId="146" builtinId="9" hidden="1"/>
    <cellStyle name="Followed Hyperlink" xfId="148" builtinId="9" hidden="1"/>
    <cellStyle name="Followed Hyperlink" xfId="144" builtinId="9" hidden="1"/>
    <cellStyle name="Followed Hyperlink" xfId="140" builtinId="9" hidden="1"/>
    <cellStyle name="Followed Hyperlink" xfId="136" builtinId="9" hidden="1"/>
    <cellStyle name="Followed Hyperlink" xfId="132" builtinId="9" hidden="1"/>
    <cellStyle name="Followed Hyperlink" xfId="128" builtinId="9" hidden="1"/>
    <cellStyle name="Followed Hyperlink" xfId="124" builtinId="9" hidden="1"/>
    <cellStyle name="Followed Hyperlink" xfId="120" builtinId="9" hidden="1"/>
    <cellStyle name="Followed Hyperlink" xfId="116" builtinId="9" hidden="1"/>
    <cellStyle name="Followed Hyperlink" xfId="112" builtinId="9" hidden="1"/>
    <cellStyle name="Followed Hyperlink" xfId="108" builtinId="9" hidden="1"/>
    <cellStyle name="Followed Hyperlink" xfId="104" builtinId="9" hidden="1"/>
    <cellStyle name="Followed Hyperlink" xfId="100" builtinId="9" hidden="1"/>
    <cellStyle name="Followed Hyperlink" xfId="96" builtinId="9" hidden="1"/>
    <cellStyle name="Followed Hyperlink" xfId="92" builtinId="9" hidden="1"/>
    <cellStyle name="Followed Hyperlink" xfId="88" builtinId="9" hidden="1"/>
    <cellStyle name="Followed Hyperlink" xfId="84" builtinId="9" hidden="1"/>
    <cellStyle name="Followed Hyperlink" xfId="80" builtinId="9" hidden="1"/>
    <cellStyle name="Followed Hyperlink" xfId="76" builtinId="9" hidden="1"/>
    <cellStyle name="Followed Hyperlink" xfId="72" builtinId="9" hidden="1"/>
    <cellStyle name="Followed Hyperlink" xfId="26" builtinId="9" hidden="1"/>
    <cellStyle name="Followed Hyperlink" xfId="28" builtinId="9" hidden="1"/>
    <cellStyle name="Followed Hyperlink" xfId="30" builtinId="9" hidden="1"/>
    <cellStyle name="Followed Hyperlink" xfId="34" builtinId="9" hidden="1"/>
    <cellStyle name="Followed Hyperlink" xfId="36" builtinId="9" hidden="1"/>
    <cellStyle name="Followed Hyperlink" xfId="38" builtinId="9" hidden="1"/>
    <cellStyle name="Followed Hyperlink" xfId="42" builtinId="9" hidden="1"/>
    <cellStyle name="Followed Hyperlink" xfId="44" builtinId="9" hidden="1"/>
    <cellStyle name="Followed Hyperlink" xfId="46" builtinId="9" hidden="1"/>
    <cellStyle name="Followed Hyperlink" xfId="50" builtinId="9" hidden="1"/>
    <cellStyle name="Followed Hyperlink" xfId="52" builtinId="9" hidden="1"/>
    <cellStyle name="Followed Hyperlink" xfId="54" builtinId="9" hidden="1"/>
    <cellStyle name="Followed Hyperlink" xfId="58" builtinId="9" hidden="1"/>
    <cellStyle name="Followed Hyperlink" xfId="60" builtinId="9" hidden="1"/>
    <cellStyle name="Followed Hyperlink" xfId="62" builtinId="9" hidden="1"/>
    <cellStyle name="Followed Hyperlink" xfId="66" builtinId="9" hidden="1"/>
    <cellStyle name="Followed Hyperlink" xfId="68" builtinId="9" hidden="1"/>
    <cellStyle name="Followed Hyperlink" xfId="70" builtinId="9" hidden="1"/>
    <cellStyle name="Followed Hyperlink" xfId="64" builtinId="9" hidden="1"/>
    <cellStyle name="Followed Hyperlink" xfId="56" builtinId="9" hidden="1"/>
    <cellStyle name="Followed Hyperlink" xfId="48" builtinId="9" hidden="1"/>
    <cellStyle name="Followed Hyperlink" xfId="40" builtinId="9" hidden="1"/>
    <cellStyle name="Followed Hyperlink" xfId="32" builtinId="9" hidden="1"/>
    <cellStyle name="Followed Hyperlink" xfId="24"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6" builtinId="9" hidden="1"/>
    <cellStyle name="Followed Hyperlink" xfId="8" builtinId="9" hidden="1"/>
    <cellStyle name="Followed Hyperlink" xfId="10" builtinId="9" hidden="1"/>
    <cellStyle name="Followed Hyperlink" xfId="4" builtinId="9" hidden="1"/>
    <cellStyle name="Followed Hyperlink" xfId="2" builtinId="9" hidden="1"/>
    <cellStyle name="Hyperlink" xfId="77" builtinId="8" hidden="1"/>
    <cellStyle name="Hyperlink" xfId="81" builtinId="8" hidden="1"/>
    <cellStyle name="Hyperlink" xfId="83" builtinId="8" hidden="1"/>
    <cellStyle name="Hyperlink" xfId="85" builtinId="8" hidden="1"/>
    <cellStyle name="Hyperlink" xfId="89" builtinId="8" hidden="1"/>
    <cellStyle name="Hyperlink" xfId="91" builtinId="8" hidden="1"/>
    <cellStyle name="Hyperlink" xfId="93" builtinId="8" hidden="1"/>
    <cellStyle name="Hyperlink" xfId="97" builtinId="8" hidden="1"/>
    <cellStyle name="Hyperlink" xfId="99" builtinId="8" hidden="1"/>
    <cellStyle name="Hyperlink" xfId="101" builtinId="8" hidden="1"/>
    <cellStyle name="Hyperlink" xfId="105" builtinId="8" hidden="1"/>
    <cellStyle name="Hyperlink" xfId="107" builtinId="8" hidden="1"/>
    <cellStyle name="Hyperlink" xfId="109" builtinId="8" hidden="1"/>
    <cellStyle name="Hyperlink" xfId="113" builtinId="8" hidden="1"/>
    <cellStyle name="Hyperlink" xfId="115" builtinId="8" hidden="1"/>
    <cellStyle name="Hyperlink" xfId="117" builtinId="8" hidden="1"/>
    <cellStyle name="Hyperlink" xfId="121" builtinId="8" hidden="1"/>
    <cellStyle name="Hyperlink" xfId="123" builtinId="8" hidden="1"/>
    <cellStyle name="Hyperlink" xfId="125" builtinId="8" hidden="1"/>
    <cellStyle name="Hyperlink" xfId="129" builtinId="8" hidden="1"/>
    <cellStyle name="Hyperlink" xfId="131" builtinId="8" hidden="1"/>
    <cellStyle name="Hyperlink" xfId="133" builtinId="8" hidden="1"/>
    <cellStyle name="Hyperlink" xfId="137" builtinId="8" hidden="1"/>
    <cellStyle name="Hyperlink" xfId="139" builtinId="8" hidden="1"/>
    <cellStyle name="Hyperlink" xfId="141" builtinId="8" hidden="1"/>
    <cellStyle name="Hyperlink" xfId="145" builtinId="8" hidden="1"/>
    <cellStyle name="Hyperlink" xfId="147" builtinId="8" hidden="1"/>
    <cellStyle name="Hyperlink" xfId="143" builtinId="8" hidden="1"/>
    <cellStyle name="Hyperlink" xfId="135" builtinId="8" hidden="1"/>
    <cellStyle name="Hyperlink" xfId="127" builtinId="8" hidden="1"/>
    <cellStyle name="Hyperlink" xfId="119" builtinId="8" hidden="1"/>
    <cellStyle name="Hyperlink" xfId="111" builtinId="8" hidden="1"/>
    <cellStyle name="Hyperlink" xfId="103" builtinId="8" hidden="1"/>
    <cellStyle name="Hyperlink" xfId="95" builtinId="8" hidden="1"/>
    <cellStyle name="Hyperlink" xfId="87" builtinId="8" hidden="1"/>
    <cellStyle name="Hyperlink" xfId="79" builtinId="8" hidden="1"/>
    <cellStyle name="Hyperlink" xfId="33" builtinId="8" hidden="1"/>
    <cellStyle name="Hyperlink" xfId="35" builtinId="8" hidden="1"/>
    <cellStyle name="Hyperlink" xfId="37"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3" builtinId="8" hidden="1"/>
    <cellStyle name="Hyperlink" xfId="75" builtinId="8" hidden="1"/>
    <cellStyle name="Hyperlink" xfId="71" builtinId="8" hidden="1"/>
    <cellStyle name="Hyperlink" xfId="55" builtinId="8" hidden="1"/>
    <cellStyle name="Hyperlink" xfId="39" builtinId="8" hidden="1"/>
    <cellStyle name="Hyperlink" xfId="15" builtinId="8" hidden="1"/>
    <cellStyle name="Hyperlink" xfId="17" builtinId="8" hidden="1"/>
    <cellStyle name="Hyperlink" xfId="19" builtinId="8" hidden="1"/>
    <cellStyle name="Hyperlink" xfId="21" builtinId="8" hidden="1"/>
    <cellStyle name="Hyperlink" xfId="25" builtinId="8" hidden="1"/>
    <cellStyle name="Hyperlink" xfId="27" builtinId="8" hidden="1"/>
    <cellStyle name="Hyperlink" xfId="29" builtinId="8" hidden="1"/>
    <cellStyle name="Hyperlink" xfId="31" builtinId="8" hidden="1"/>
    <cellStyle name="Hyperlink" xfId="23" builtinId="8" hidden="1"/>
    <cellStyle name="Hyperlink" xfId="7" builtinId="8" hidden="1"/>
    <cellStyle name="Hyperlink" xfId="9" builtinId="8" hidden="1"/>
    <cellStyle name="Hyperlink" xfId="11" builtinId="8" hidden="1"/>
    <cellStyle name="Hyperlink" xfId="13" builtinId="8" hidden="1"/>
    <cellStyle name="Hyperlink" xfId="3" builtinId="8" hidden="1"/>
    <cellStyle name="Hyperlink" xfId="5" builtinId="8" hidden="1"/>
    <cellStyle name="Hyperlink" xfId="1" builtinId="8" hidden="1"/>
    <cellStyle name="Item" xfId="152" xr:uid="{00000000-0005-0000-0000-000097000000}"/>
    <cellStyle name="Normal" xfId="0" builtinId="0"/>
    <cellStyle name="Normal 2" xfId="149" xr:uid="{00000000-0005-0000-0000-000099000000}"/>
    <cellStyle name="Percent" xfId="157" builtinId="5"/>
    <cellStyle name="Table Cell" xfId="153" xr:uid="{00000000-0005-0000-0000-00009B000000}"/>
    <cellStyle name="Table Cell Date" xfId="154" xr:uid="{00000000-0005-0000-0000-00009C000000}"/>
    <cellStyle name="Table Heading" xfId="155" xr:uid="{00000000-0005-0000-0000-00009D000000}"/>
  </cellStyles>
  <dxfs count="20">
    <dxf>
      <font>
        <color theme="0"/>
      </font>
      <fill>
        <patternFill>
          <bgColor rgb="FF333333"/>
        </patternFill>
      </fill>
    </dxf>
    <dxf>
      <font>
        <color theme="0"/>
      </font>
      <fill>
        <patternFill>
          <bgColor theme="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ont>
        <color rgb="FFFFCC00"/>
      </font>
      <fill>
        <patternFill patternType="darkUp">
          <fgColor rgb="FFFF6600"/>
          <bgColor rgb="FFFFC000"/>
        </patternFill>
      </fill>
    </dxf>
    <dxf>
      <font>
        <color rgb="FFFFCC00"/>
      </font>
      <fill>
        <patternFill>
          <bgColor rgb="FFFFCC00"/>
        </patternFill>
      </fill>
    </dxf>
    <dxf>
      <font>
        <color rgb="FFFF6600"/>
      </font>
      <fill>
        <patternFill>
          <bgColor rgb="FFFF6600"/>
        </patternFill>
      </fill>
    </dxf>
    <dxf>
      <font>
        <color rgb="FF92D050"/>
      </font>
      <fill>
        <patternFill>
          <bgColor rgb="FF92D05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s>
  <tableStyles count="0" defaultTableStyle="TableStyleMedium9" defaultPivotStyle="PivotStyleMedium4"/>
  <colors>
    <mruColors>
      <color rgb="FFFFFF99"/>
      <color rgb="FFCCFFFF"/>
      <color rgb="FFFFCC00"/>
      <color rgb="FFFF6600"/>
      <color rgb="FF9EB49E"/>
      <color rgb="FFC0C0C0"/>
      <color rgb="FFCFE2CE"/>
      <color rgb="FF333333"/>
      <color rgb="FF00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1219200</xdr:colOff>
      <xdr:row>2</xdr:row>
      <xdr:rowOff>104775</xdr:rowOff>
    </xdr:to>
    <xdr:pic>
      <xdr:nvPicPr>
        <xdr:cNvPr id="2" name="Picture 39" descr="logo_notstacked">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1219200</xdr:colOff>
      <xdr:row>2</xdr:row>
      <xdr:rowOff>104775</xdr:rowOff>
    </xdr:to>
    <xdr:pic>
      <xdr:nvPicPr>
        <xdr:cNvPr id="2" name="Picture 39" descr="logo_notstacked">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647700</xdr:colOff>
      <xdr:row>2</xdr:row>
      <xdr:rowOff>104775</xdr:rowOff>
    </xdr:to>
    <xdr:pic>
      <xdr:nvPicPr>
        <xdr:cNvPr id="2" name="Picture 39" descr="logo_notstacked">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twoCellAnchor>
    <xdr:from>
      <xdr:col>11</xdr:col>
      <xdr:colOff>557894</xdr:colOff>
      <xdr:row>6</xdr:row>
      <xdr:rowOff>0</xdr:rowOff>
    </xdr:from>
    <xdr:to>
      <xdr:col>16</xdr:col>
      <xdr:colOff>244929</xdr:colOff>
      <xdr:row>11</xdr:row>
      <xdr:rowOff>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9295494" y="1866900"/>
          <a:ext cx="2423885" cy="984250"/>
          <a:chOff x="6096000" y="2466975"/>
          <a:chExt cx="2476500" cy="942975"/>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a:extLst>
              <a:ext uri="{FF2B5EF4-FFF2-40B4-BE49-F238E27FC236}">
                <a16:creationId xmlns:a16="http://schemas.microsoft.com/office/drawing/2014/main" id="{00000000-0008-0000-0200-000004000000}"/>
              </a:ext>
            </a:extLst>
          </xdr:cNvPr>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715125" y="2809875"/>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mc:AlternateContent xmlns:mc="http://schemas.openxmlformats.org/markup-compatibility/2006">
    <mc:Choice xmlns:a14="http://schemas.microsoft.com/office/drawing/2010/main" Requires="a14">
      <xdr:twoCellAnchor>
        <xdr:from>
          <xdr:col>8</xdr:col>
          <xdr:colOff>0</xdr:colOff>
          <xdr:row>12</xdr:row>
          <xdr:rowOff>0</xdr:rowOff>
        </xdr:from>
        <xdr:to>
          <xdr:col>12</xdr:col>
          <xdr:colOff>0</xdr:colOff>
          <xdr:row>14</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Add New Story Type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647700</xdr:colOff>
      <xdr:row>2</xdr:row>
      <xdr:rowOff>104775</xdr:rowOff>
    </xdr:to>
    <xdr:pic>
      <xdr:nvPicPr>
        <xdr:cNvPr id="2" name="Picture 39" descr="logo_notstacked">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twoCellAnchor>
    <xdr:from>
      <xdr:col>8</xdr:col>
      <xdr:colOff>0</xdr:colOff>
      <xdr:row>6</xdr:row>
      <xdr:rowOff>0</xdr:rowOff>
    </xdr:from>
    <xdr:to>
      <xdr:col>12</xdr:col>
      <xdr:colOff>0</xdr:colOff>
      <xdr:row>12</xdr:row>
      <xdr:rowOff>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6718300" y="1390650"/>
          <a:ext cx="2463800" cy="1181100"/>
          <a:chOff x="6096000" y="2466975"/>
          <a:chExt cx="2476500" cy="942975"/>
        </a:xfrm>
      </xdr:grpSpPr>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6715125" y="2809875"/>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1076325</xdr:colOff>
      <xdr:row>2</xdr:row>
      <xdr:rowOff>118382</xdr:rowOff>
    </xdr:to>
    <xdr:pic>
      <xdr:nvPicPr>
        <xdr:cNvPr id="2" name="Picture 39" descr="logo_notstacked">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266700</xdr:colOff>
      <xdr:row>2</xdr:row>
      <xdr:rowOff>104775</xdr:rowOff>
    </xdr:to>
    <xdr:pic>
      <xdr:nvPicPr>
        <xdr:cNvPr id="2" name="Picture 39" descr="logo_notstacked">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twoCellAnchor>
    <xdr:from>
      <xdr:col>5</xdr:col>
      <xdr:colOff>1485900</xdr:colOff>
      <xdr:row>4</xdr:row>
      <xdr:rowOff>0</xdr:rowOff>
    </xdr:from>
    <xdr:to>
      <xdr:col>8</xdr:col>
      <xdr:colOff>1</xdr:colOff>
      <xdr:row>5</xdr:row>
      <xdr:rowOff>28575</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6864724" y="851647"/>
          <a:ext cx="2794748" cy="1149163"/>
          <a:chOff x="6867525" y="857250"/>
          <a:chExt cx="2800351" cy="1152525"/>
        </a:xfrm>
      </xdr:grpSpPr>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867525" y="85725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a:extLst>
              <a:ext uri="{FF2B5EF4-FFF2-40B4-BE49-F238E27FC236}">
                <a16:creationId xmlns:a16="http://schemas.microsoft.com/office/drawing/2014/main" id="{00000000-0008-0000-0500-000005000000}"/>
              </a:ext>
            </a:extLst>
          </xdr:cNvPr>
          <xdr:cNvSpPr/>
        </xdr:nvSpPr>
        <xdr:spPr>
          <a:xfrm>
            <a:off x="6987131" y="123330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581900" y="122872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a:extLst>
              <a:ext uri="{FF2B5EF4-FFF2-40B4-BE49-F238E27FC236}">
                <a16:creationId xmlns:a16="http://schemas.microsoft.com/office/drawing/2014/main" id="{00000000-0008-0000-0500-000007000000}"/>
              </a:ext>
            </a:extLst>
          </xdr:cNvPr>
          <xdr:cNvSpPr/>
        </xdr:nvSpPr>
        <xdr:spPr>
          <a:xfrm>
            <a:off x="6987131" y="1457325"/>
            <a:ext cx="507002" cy="219364"/>
          </a:xfrm>
          <a:prstGeom prst="rect">
            <a:avLst/>
          </a:prstGeom>
          <a:solidFill>
            <a:srgbClr val="CFE2CE"/>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266700</xdr:colOff>
      <xdr:row>2</xdr:row>
      <xdr:rowOff>104775</xdr:rowOff>
    </xdr:to>
    <xdr:pic>
      <xdr:nvPicPr>
        <xdr:cNvPr id="2" name="Picture 39" descr="logo_notstacked">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twoCellAnchor>
    <xdr:from>
      <xdr:col>5</xdr:col>
      <xdr:colOff>1485899</xdr:colOff>
      <xdr:row>2</xdr:row>
      <xdr:rowOff>0</xdr:rowOff>
    </xdr:from>
    <xdr:to>
      <xdr:col>8</xdr:col>
      <xdr:colOff>0</xdr:colOff>
      <xdr:row>4</xdr:row>
      <xdr:rowOff>723900</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6857999" y="425450"/>
          <a:ext cx="3035301" cy="1149350"/>
          <a:chOff x="6867525" y="857250"/>
          <a:chExt cx="2800351" cy="1152525"/>
        </a:xfrm>
      </xdr:grpSpPr>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6867525" y="85725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a:extLst>
              <a:ext uri="{FF2B5EF4-FFF2-40B4-BE49-F238E27FC236}">
                <a16:creationId xmlns:a16="http://schemas.microsoft.com/office/drawing/2014/main" id="{00000000-0008-0000-0600-000005000000}"/>
              </a:ext>
            </a:extLst>
          </xdr:cNvPr>
          <xdr:cNvSpPr/>
        </xdr:nvSpPr>
        <xdr:spPr>
          <a:xfrm>
            <a:off x="6987131" y="123330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7581900" y="122872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a:extLst>
              <a:ext uri="{FF2B5EF4-FFF2-40B4-BE49-F238E27FC236}">
                <a16:creationId xmlns:a16="http://schemas.microsoft.com/office/drawing/2014/main" id="{00000000-0008-0000-0600-000007000000}"/>
              </a:ext>
            </a:extLst>
          </xdr:cNvPr>
          <xdr:cNvSpPr/>
        </xdr:nvSpPr>
        <xdr:spPr>
          <a:xfrm>
            <a:off x="6987131" y="1457325"/>
            <a:ext cx="507002" cy="219364"/>
          </a:xfrm>
          <a:prstGeom prst="rect">
            <a:avLst/>
          </a:prstGeom>
          <a:solidFill>
            <a:srgbClr val="CFE2CE"/>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1076325</xdr:colOff>
      <xdr:row>2</xdr:row>
      <xdr:rowOff>104775</xdr:rowOff>
    </xdr:to>
    <xdr:pic>
      <xdr:nvPicPr>
        <xdr:cNvPr id="3" name="Picture 39" descr="logo_notstacked">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5</xdr:col>
          <xdr:colOff>698500</xdr:colOff>
          <xdr:row>10</xdr:row>
          <xdr:rowOff>31750</xdr:rowOff>
        </xdr:from>
        <xdr:to>
          <xdr:col>7</xdr:col>
          <xdr:colOff>0</xdr:colOff>
          <xdr:row>12</xdr:row>
          <xdr:rowOff>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700-00000B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Add New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698500</xdr:colOff>
          <xdr:row>8</xdr:row>
          <xdr:rowOff>0</xdr:rowOff>
        </xdr:from>
        <xdr:to>
          <xdr:col>7</xdr:col>
          <xdr:colOff>0</xdr:colOff>
          <xdr:row>9</xdr:row>
          <xdr:rowOff>171450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700-00000C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Export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266700</xdr:colOff>
      <xdr:row>2</xdr:row>
      <xdr:rowOff>104775</xdr:rowOff>
    </xdr:to>
    <xdr:pic>
      <xdr:nvPicPr>
        <xdr:cNvPr id="2" name="Picture 39" descr="logo_notstacked">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39052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1219200</xdr:colOff>
      <xdr:row>2</xdr:row>
      <xdr:rowOff>139700</xdr:rowOff>
    </xdr:to>
    <xdr:pic>
      <xdr:nvPicPr>
        <xdr:cNvPr id="5" name="Picture 2" descr="logo_notstacked">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42875"/>
          <a:ext cx="1219200" cy="42545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wnloads/DAYMetric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saxe/AppData/Local/Microsoft/Windows/Temporary%20Internet%20Files/Content.Outlook/DZWOKLM4/HartFord_Estimation_Tool_Infrastructure_Design_and_Implementatio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s/Hartford/Deal%20Tool%2092751%20MF%20Impl_v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ssaxe/AppData/Local/Microsoft/Windows/Temporary%20Internet%20Files/Content.Outlook/DZWOKLM4/USAToday_Hilton_Iterative-Estimates-v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roject Overview"/>
      <sheetName val="Tasks (Metrics)"/>
      <sheetName val="Metrics"/>
      <sheetName val="Stories"/>
      <sheetName val="Add-Ins"/>
      <sheetName val="Objective Risks"/>
      <sheetName val="Staffing Plan"/>
      <sheetName val="Data"/>
      <sheetName val="Export Results"/>
      <sheetName val="Export_Stories"/>
      <sheetName val="Total LOE"/>
      <sheetName val="Roles"/>
    </sheetNames>
    <sheetDataSet>
      <sheetData sheetId="0"/>
      <sheetData sheetId="1"/>
      <sheetData sheetId="2"/>
      <sheetData sheetId="3">
        <row r="9">
          <cell r="B9" t="str">
            <v>None</v>
          </cell>
        </row>
      </sheetData>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roject Overview"/>
      <sheetName val="Tasks (Metrics)"/>
      <sheetName val="Metrics"/>
      <sheetName val="Stories"/>
      <sheetName val="Add-Ins"/>
      <sheetName val="Objective Risks"/>
      <sheetName val="Staffing Plan"/>
      <sheetName val="Data"/>
      <sheetName val="Export Results"/>
      <sheetName val="Total LOE"/>
      <sheetName val="Ro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etency Lookup"/>
      <sheetName val="Contract Terms"/>
      <sheetName val="Cost Rates"/>
      <sheetName val="Pricing-Projects"/>
      <sheetName val="2nd upload"/>
      <sheetName val="GDD-Expenses"/>
      <sheetName val="Local Travel Exp"/>
      <sheetName val="BridgeTrack"/>
      <sheetName val="Bill Rates"/>
      <sheetName val="1st upload"/>
      <sheetName val="Admin"/>
      <sheetName val="SCO Details"/>
      <sheetName val="MetaData"/>
      <sheetName val="Web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roject Overview"/>
      <sheetName val="Tasks (Metrics)"/>
      <sheetName val="Metrics"/>
      <sheetName val="Stories"/>
      <sheetName val="Add-Ins"/>
      <sheetName val="Objective Risks"/>
      <sheetName val="Staffing Plan"/>
      <sheetName val="Data"/>
      <sheetName val="Export Results"/>
      <sheetName val="Export_Stories"/>
      <sheetName val="Total LOE"/>
      <sheetName val="Roles"/>
      <sheetName val="Component List"/>
      <sheetName val="Screen List"/>
      <sheetName val="Use Case List"/>
      <sheetName val="Integration Interfa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lika" refreshedDate="41086.456417592592" createdVersion="4" refreshedVersion="3" minRefreshableVersion="3" recordCount="515" xr:uid="{00000000-000A-0000-FFFF-FFFF02000000}">
  <cacheSource type="worksheet">
    <worksheetSource ref="C13:S528" sheet="Stories"/>
  </cacheSource>
  <cacheFields count="17">
    <cacheField name="Category" numFmtId="0">
      <sharedItems containsBlank="1" count="38">
        <m/>
        <s v="Architecture"/>
        <s v="Technical"/>
        <s v="Content"/>
        <s v="Design"/>
        <s v="Dev - CMS"/>
        <s v="Integration"/>
        <s v="Infra"/>
        <s v="Dev - Site Dev"/>
        <s v="Testing"/>
        <s v="NFR Testing"/>
        <s v="Dev - Integration"/>
        <s v="Migration"/>
        <s v="System Testing"/>
        <s v="UAT"/>
        <s v="Warranty"/>
        <s v="Training"/>
        <s v="Content Strategist"/>
        <s v="Designer"/>
        <s v="IA"/>
        <s v="Automation"/>
        <s v="CMS Dev" u="1"/>
        <s v="Documentation" u="1"/>
        <s v="Build and Release" u="1"/>
        <s v="Script" u="1"/>
        <s v="Performance" u="1"/>
        <s v="Requirements" u="1"/>
        <s v="Cotent Strategist" u="1"/>
        <s v="Productionization" u="1"/>
        <s v="Dev -Integration" u="1"/>
        <s v="Mobile" u="1"/>
        <s v="Env Setup" u="1"/>
        <s v="Test Scripts" u="1"/>
        <s v="Framework" u="1"/>
        <s v="Scipts" u="1"/>
        <s v="Env Support" u="1"/>
        <s v="CMS Config" u="1"/>
        <s v="Bug Fixing" u="1"/>
      </sharedItems>
    </cacheField>
    <cacheField name="Track" numFmtId="0">
      <sharedItems containsBlank="1"/>
    </cacheField>
    <cacheField name="Story Name" numFmtId="0">
      <sharedItems containsBlank="1"/>
    </cacheField>
    <cacheField name="Phase (EAR/ Implementation" numFmtId="0">
      <sharedItems containsBlank="1" count="3">
        <m/>
        <s v="EAR"/>
        <s v="Implementation"/>
      </sharedItems>
    </cacheField>
    <cacheField name="Description" numFmtId="0">
      <sharedItems containsBlank="1"/>
    </cacheField>
    <cacheField name="Scope Reference" numFmtId="0">
      <sharedItems containsBlank="1"/>
    </cacheField>
    <cacheField name="In/Out" numFmtId="0">
      <sharedItems containsBlank="1"/>
    </cacheField>
    <cacheField name="Story Type" numFmtId="0">
      <sharedItems containsBlank="1"/>
    </cacheField>
    <cacheField name="ABP" numFmtId="0">
      <sharedItems containsString="0" containsBlank="1" containsNumber="1" minValue="6.3E-3" maxValue="40"/>
    </cacheField>
    <cacheField name="HP" numFmtId="0">
      <sharedItems containsString="0" containsBlank="1" containsNumber="1" minValue="9.4000000000000004E-3" maxValue="60"/>
    </cacheField>
    <cacheField name="Multiplier" numFmtId="1">
      <sharedItems containsString="0" containsBlank="1" containsNumber="1" minValue="0" maxValue="900"/>
    </cacheField>
    <cacheField name="Dummy" numFmtId="2">
      <sharedItems containsString="0" containsBlank="1" containsNumber="1" minValue="0.25" maxValue="9.875"/>
    </cacheField>
    <cacheField name="ABP2" numFmtId="2">
      <sharedItems containsBlank="1" containsMixedTypes="1" containsNumber="1" minValue="0" maxValue="180"/>
    </cacheField>
    <cacheField name="Dummy2" numFmtId="2">
      <sharedItems containsString="0" containsBlank="1" containsNumber="1" minValue="0.5" maxValue="19.25"/>
    </cacheField>
    <cacheField name="HP2" numFmtId="2">
      <sharedItems containsBlank="1" containsMixedTypes="1" containsNumber="1" minValue="0" maxValue="180"/>
    </cacheField>
    <cacheField name="Dummy3" numFmtId="2">
      <sharedItems containsNonDate="0" containsString="0" containsBlank="1"/>
    </cacheField>
    <cacheField name="Buffered" numFmtId="2">
      <sharedItems containsBlank="1" containsMixedTypes="1" containsNumber="1" minValue="0" maxValue="18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5">
  <r>
    <x v="0"/>
    <m/>
    <s v="Design"/>
    <x v="0"/>
    <m/>
    <m/>
    <s v="In"/>
    <m/>
    <m/>
    <m/>
    <n v="1"/>
    <m/>
    <s v=""/>
    <m/>
    <s v=""/>
    <m/>
    <s v=""/>
  </r>
  <r>
    <x v="0"/>
    <m/>
    <s v="Design Documentation"/>
    <x v="0"/>
    <m/>
    <m/>
    <m/>
    <m/>
    <m/>
    <m/>
    <m/>
    <m/>
    <s v=""/>
    <m/>
    <s v=""/>
    <m/>
    <s v=""/>
  </r>
  <r>
    <x v="1"/>
    <s v="Architecture"/>
    <s v="Logical Architecture"/>
    <x v="1"/>
    <s v="Covered during design phase"/>
    <m/>
    <s v="Out"/>
    <m/>
    <n v="4"/>
    <n v="6"/>
    <n v="1"/>
    <m/>
    <s v=""/>
    <m/>
    <s v=""/>
    <m/>
    <s v=""/>
  </r>
  <r>
    <x v="1"/>
    <s v="Architecture"/>
    <s v="Physical Architecture"/>
    <x v="1"/>
    <s v="Covered during design phase"/>
    <m/>
    <s v="Out"/>
    <m/>
    <n v="3"/>
    <n v="5"/>
    <n v="1"/>
    <m/>
    <s v=""/>
    <m/>
    <s v=""/>
    <m/>
    <s v=""/>
  </r>
  <r>
    <x v="1"/>
    <s v="Architecture"/>
    <s v="SAD"/>
    <x v="1"/>
    <s v="Closure, reviews and expanding with D2 level details"/>
    <m/>
    <s v="Out"/>
    <m/>
    <n v="15"/>
    <n v="25"/>
    <n v="1"/>
    <m/>
    <s v=""/>
    <m/>
    <s v=""/>
    <m/>
    <s v=""/>
  </r>
  <r>
    <x v="2"/>
    <s v="Technical"/>
    <s v="social media sharing"/>
    <x v="1"/>
    <s v="Effort for tracking integration with twitter, linkedin using apis available from vendors"/>
    <m/>
    <s v="Out"/>
    <m/>
    <n v="1"/>
    <n v="2"/>
    <n v="1"/>
    <m/>
    <s v=""/>
    <m/>
    <s v=""/>
    <m/>
    <s v=""/>
  </r>
  <r>
    <x v="2"/>
    <s v="Technical"/>
    <s v="site behavior if external systems are unavailable"/>
    <x v="1"/>
    <s v="Definign strategy to host stacic pages not served by CMS"/>
    <m/>
    <s v="In"/>
    <m/>
    <n v="1"/>
    <n v="2"/>
    <n v="1"/>
    <m/>
    <n v="1"/>
    <m/>
    <n v="2"/>
    <m/>
    <n v="1.5"/>
  </r>
  <r>
    <x v="2"/>
    <s v="Technical"/>
    <s v="Build &amp; deploy process"/>
    <x v="1"/>
    <s v="Covered during design phase"/>
    <m/>
    <s v="In"/>
    <m/>
    <n v="2"/>
    <n v="4"/>
    <n v="1"/>
    <m/>
    <n v="2"/>
    <m/>
    <n v="4"/>
    <m/>
    <n v="3"/>
  </r>
  <r>
    <x v="2"/>
    <s v="Technical"/>
    <s v="RSS Feeds"/>
    <x v="2"/>
    <s v="Not in scope for feeds"/>
    <m/>
    <s v="Out"/>
    <m/>
    <n v="2"/>
    <n v="3"/>
    <n v="1"/>
    <m/>
    <s v=""/>
    <m/>
    <s v=""/>
    <m/>
    <s v=""/>
  </r>
  <r>
    <x v="1"/>
    <s v="Architecture"/>
    <s v="WORM Compliance"/>
    <x v="1"/>
    <m/>
    <m/>
    <s v="Out"/>
    <m/>
    <n v="3"/>
    <n v="5"/>
    <n v="1"/>
    <m/>
    <s v=""/>
    <m/>
    <s v=""/>
    <m/>
    <s v=""/>
  </r>
  <r>
    <x v="2"/>
    <s v="Technical"/>
    <s v="Newsletter"/>
    <x v="1"/>
    <m/>
    <s v="2.5.8"/>
    <s v="In"/>
    <m/>
    <n v="2"/>
    <n v="3"/>
    <n v="1"/>
    <m/>
    <n v="2"/>
    <m/>
    <n v="3"/>
    <m/>
    <n v="2.5"/>
  </r>
  <r>
    <x v="2"/>
    <s v="Technical"/>
    <s v="Mobile stylesheets &amp; device detection"/>
    <x v="1"/>
    <s v="Not part of scope for release 1"/>
    <m/>
    <s v="Out"/>
    <m/>
    <n v="2"/>
    <n v="3"/>
    <n v="1"/>
    <m/>
    <s v=""/>
    <m/>
    <s v=""/>
    <m/>
    <s v=""/>
  </r>
  <r>
    <x v="3"/>
    <s v="Content"/>
    <s v="Search requirements"/>
    <x v="1"/>
    <s v="Clarifying on boosting requirements and parameters"/>
    <m/>
    <s v="In"/>
    <m/>
    <n v="3"/>
    <n v="5"/>
    <n v="1"/>
    <m/>
    <n v="3"/>
    <m/>
    <n v="5"/>
    <m/>
    <n v="4"/>
  </r>
  <r>
    <x v="3"/>
    <s v="Content"/>
    <s v="Taxonomy and Metadata Definition"/>
    <x v="1"/>
    <s v="Define the taxonomy and metadata requirements for the system."/>
    <m/>
    <s v="In"/>
    <m/>
    <n v="2"/>
    <n v="3"/>
    <n v="1"/>
    <m/>
    <n v="2"/>
    <m/>
    <n v="3"/>
    <m/>
    <n v="2.5"/>
  </r>
  <r>
    <x v="1"/>
    <s v="Content"/>
    <s v="Define content model"/>
    <x v="1"/>
    <m/>
    <m/>
    <s v="In"/>
    <m/>
    <n v="2"/>
    <n v="3"/>
    <n v="1"/>
    <m/>
    <n v="2"/>
    <m/>
    <n v="3"/>
    <m/>
    <n v="2.5"/>
  </r>
  <r>
    <x v="2"/>
    <s v="Technical"/>
    <s v="NFRs"/>
    <x v="1"/>
    <s v="Detailing out the non functional requirements"/>
    <m/>
    <s v="Out"/>
    <m/>
    <n v="5"/>
    <n v="7"/>
    <n v="1"/>
    <m/>
    <s v=""/>
    <m/>
    <s v=""/>
    <m/>
    <s v=""/>
  </r>
  <r>
    <x v="1"/>
    <s v="Architecture"/>
    <s v="Perfomance Test Strategy"/>
    <x v="1"/>
    <s v="Definign the scope of performance testing approch"/>
    <m/>
    <s v="In"/>
    <m/>
    <n v="5"/>
    <n v="7"/>
    <n v="1"/>
    <m/>
    <n v="5"/>
    <m/>
    <n v="7"/>
    <m/>
    <n v="6"/>
  </r>
  <r>
    <x v="1"/>
    <s v="Architecture"/>
    <s v="Security Test Strategy"/>
    <x v="1"/>
    <s v="Defining the scope of security testing approch"/>
    <m/>
    <s v="In"/>
    <m/>
    <n v="5"/>
    <n v="7"/>
    <n v="1"/>
    <m/>
    <n v="5"/>
    <m/>
    <n v="7"/>
    <m/>
    <n v="6"/>
  </r>
  <r>
    <x v="1"/>
    <s v="QA"/>
    <s v="QA-Test Strategy Document Creation and Planning"/>
    <x v="1"/>
    <s v="Includes approach for regression automation testign strategy"/>
    <m/>
    <s v="Out"/>
    <m/>
    <n v="5"/>
    <n v="7"/>
    <n v="1"/>
    <m/>
    <s v=""/>
    <m/>
    <s v=""/>
    <m/>
    <s v=""/>
  </r>
  <r>
    <x v="1"/>
    <s v="Architecture"/>
    <s v="Migration"/>
    <x v="1"/>
    <m/>
    <m/>
    <s v="In"/>
    <m/>
    <m/>
    <m/>
    <n v="1"/>
    <m/>
    <s v=""/>
    <m/>
    <s v=""/>
    <m/>
    <s v=""/>
  </r>
  <r>
    <x v="1"/>
    <s v="Architecture"/>
    <s v="Define the Content Migration Strategy"/>
    <x v="1"/>
    <s v="defining how the content can be migrated from current system to the new system"/>
    <m/>
    <s v="Out"/>
    <m/>
    <n v="3"/>
    <n v="5"/>
    <n v="1"/>
    <m/>
    <s v=""/>
    <m/>
    <s v=""/>
    <m/>
    <s v=""/>
  </r>
  <r>
    <x v="1"/>
    <s v="Architecture"/>
    <s v="Data migration"/>
    <x v="1"/>
    <m/>
    <m/>
    <s v="In"/>
    <m/>
    <m/>
    <m/>
    <n v="1"/>
    <m/>
    <s v=""/>
    <m/>
    <s v=""/>
    <m/>
    <s v=""/>
  </r>
  <r>
    <x v="1"/>
    <s v="Architecture"/>
    <s v="User data"/>
    <x v="1"/>
    <m/>
    <m/>
    <s v="In"/>
    <m/>
    <n v="4"/>
    <n v="5"/>
    <n v="1"/>
    <m/>
    <n v="4"/>
    <m/>
    <n v="5"/>
    <m/>
    <n v="4.5"/>
  </r>
  <r>
    <x v="1"/>
    <s v="Architecture"/>
    <s v="User preferences data"/>
    <x v="1"/>
    <m/>
    <m/>
    <s v="In"/>
    <m/>
    <n v="3"/>
    <n v="4"/>
    <n v="1"/>
    <m/>
    <n v="3"/>
    <m/>
    <n v="4"/>
    <m/>
    <n v="3.5"/>
  </r>
  <r>
    <x v="1"/>
    <s v="Architecture"/>
    <s v="User data migration from Salesforce"/>
    <x v="1"/>
    <m/>
    <m/>
    <s v="In"/>
    <m/>
    <n v="3"/>
    <n v="5"/>
    <n v="1"/>
    <m/>
    <n v="3"/>
    <m/>
    <n v="5"/>
    <m/>
    <n v="4"/>
  </r>
  <r>
    <x v="1"/>
    <s v="Architecture"/>
    <s v="Migration of data from SMART Database"/>
    <x v="1"/>
    <m/>
    <m/>
    <s v="In"/>
    <m/>
    <n v="2"/>
    <n v="3"/>
    <n v="1"/>
    <m/>
    <n v="2"/>
    <m/>
    <n v="3"/>
    <m/>
    <n v="2.5"/>
  </r>
  <r>
    <x v="1"/>
    <s v="Architecture"/>
    <s v="Document Ingestion (from Synthesis to CMS)"/>
    <x v="2"/>
    <m/>
    <m/>
    <s v="In"/>
    <m/>
    <n v="2"/>
    <n v="3"/>
    <n v="1"/>
    <m/>
    <n v="2"/>
    <m/>
    <n v="3"/>
    <m/>
    <n v="2.5"/>
  </r>
  <r>
    <x v="0"/>
    <m/>
    <s v="POC"/>
    <x v="1"/>
    <m/>
    <m/>
    <m/>
    <m/>
    <m/>
    <m/>
    <m/>
    <m/>
    <s v=""/>
    <m/>
    <s v=""/>
    <m/>
    <s v=""/>
  </r>
  <r>
    <x v="4"/>
    <s v="CMS Dev"/>
    <s v="POC to evaluate the Personalization Framework"/>
    <x v="1"/>
    <s v="The personalization framework will define a consistent way of how the different views can be created for different types of users"/>
    <m/>
    <s v="In"/>
    <m/>
    <n v="3"/>
    <n v="5"/>
    <n v="1"/>
    <m/>
    <n v="3"/>
    <m/>
    <n v="5"/>
    <m/>
    <n v="4"/>
  </r>
  <r>
    <x v="4"/>
    <s v="CMS Dev"/>
    <s v="Site Catalyst integraton"/>
    <x v="1"/>
    <s v="POC to identify the coverage provided and account for additional requirements\enhancements to the core APIs"/>
    <m/>
    <s v="In"/>
    <m/>
    <n v="3"/>
    <n v="5"/>
    <n v="1"/>
    <m/>
    <n v="3"/>
    <m/>
    <n v="5"/>
    <m/>
    <n v="4"/>
  </r>
  <r>
    <x v="4"/>
    <s v="Integration"/>
    <s v="LDAP"/>
    <x v="1"/>
    <s v="POC to identify approach for integration with LDAP"/>
    <m/>
    <s v="In"/>
    <m/>
    <n v="4"/>
    <n v="6"/>
    <n v="1"/>
    <m/>
    <n v="4"/>
    <m/>
    <n v="6"/>
    <m/>
    <n v="5"/>
  </r>
  <r>
    <x v="4"/>
    <s v="Integration"/>
    <s v="POC for integration with Document Fulfillment system"/>
    <x v="1"/>
    <s v="POC to identify approach for integration with fulfillment system"/>
    <m/>
    <s v="Out"/>
    <m/>
    <n v="4"/>
    <n v="7"/>
    <n v="1"/>
    <m/>
    <s v=""/>
    <m/>
    <s v=""/>
    <m/>
    <s v=""/>
  </r>
  <r>
    <x v="4"/>
    <s v="Technical"/>
    <s v="POC to create the Email Templating"/>
    <x v="1"/>
    <s v="Define the approach and skepleton for templating"/>
    <m/>
    <s v="Out"/>
    <m/>
    <n v="2"/>
    <n v="3"/>
    <n v="1"/>
    <m/>
    <s v=""/>
    <m/>
    <s v=""/>
    <m/>
    <s v=""/>
  </r>
  <r>
    <x v="4"/>
    <s v="Technical"/>
    <s v="POC to generate graph from the data residing in CMS system"/>
    <x v="1"/>
    <s v="Define the approach and skepleton for templating"/>
    <m/>
    <s v="In"/>
    <m/>
    <n v="4"/>
    <n v="6"/>
    <n v="1"/>
    <m/>
    <n v="4"/>
    <m/>
    <n v="6"/>
    <m/>
    <n v="5"/>
  </r>
  <r>
    <x v="4"/>
    <m/>
    <s v="Technical Design"/>
    <x v="1"/>
    <m/>
    <m/>
    <m/>
    <m/>
    <m/>
    <m/>
    <m/>
    <m/>
    <s v=""/>
    <m/>
    <s v=""/>
    <m/>
    <s v=""/>
  </r>
  <r>
    <x v="4"/>
    <s v="Architecture"/>
    <s v="Framework Components - Design_x000a_"/>
    <x v="1"/>
    <m/>
    <m/>
    <s v="In"/>
    <m/>
    <m/>
    <m/>
    <m/>
    <m/>
    <s v=""/>
    <m/>
    <s v=""/>
    <m/>
    <s v=""/>
  </r>
  <r>
    <x v="4"/>
    <s v="Architecture"/>
    <s v="Logging/Exception Handling "/>
    <x v="1"/>
    <s v="Defining the strategy for logging and exception handling, expecting reuse from existing projects"/>
    <m/>
    <s v="In"/>
    <m/>
    <n v="1"/>
    <n v="2"/>
    <n v="1"/>
    <m/>
    <n v="1"/>
    <m/>
    <n v="2"/>
    <m/>
    <n v="1.5"/>
  </r>
  <r>
    <x v="4"/>
    <s v="Architecture"/>
    <s v="Caching"/>
    <x v="1"/>
    <s v="Defining the strategy for CDN + Dispatcher caching"/>
    <m/>
    <s v="In"/>
    <m/>
    <n v="3"/>
    <n v="5"/>
    <n v="1"/>
    <m/>
    <n v="3"/>
    <m/>
    <n v="5"/>
    <m/>
    <n v="4"/>
  </r>
  <r>
    <x v="4"/>
    <s v="Architecture"/>
    <s v="Caching invalidation procedure at CDN"/>
    <x v="1"/>
    <m/>
    <m/>
    <s v="In"/>
    <m/>
    <n v="2"/>
    <n v="4"/>
    <n v="1"/>
    <m/>
    <n v="2"/>
    <m/>
    <n v="4"/>
    <m/>
    <n v="3"/>
  </r>
  <r>
    <x v="4"/>
    <s v="Architecture"/>
    <s v="Configuration Management"/>
    <x v="1"/>
    <s v="Effort for scoping the exact details"/>
    <m/>
    <s v="In"/>
    <m/>
    <n v="1"/>
    <n v="2"/>
    <n v="1"/>
    <m/>
    <n v="1"/>
    <m/>
    <n v="2"/>
    <m/>
    <n v="1.5"/>
  </r>
  <r>
    <x v="4"/>
    <s v="Architecture"/>
    <s v="Reporting, Alerts &amp; Notification"/>
    <x v="1"/>
    <s v="Component responsible for compiling and sending mails"/>
    <m/>
    <s v="In"/>
    <m/>
    <n v="3"/>
    <n v="5"/>
    <n v="1"/>
    <m/>
    <n v="3"/>
    <m/>
    <n v="5"/>
    <m/>
    <n v="4"/>
  </r>
  <r>
    <x v="4"/>
    <s v="Architecture"/>
    <s v="Session Management"/>
    <x v="1"/>
    <m/>
    <m/>
    <s v="In"/>
    <m/>
    <n v="4"/>
    <n v="7"/>
    <n v="1"/>
    <m/>
    <n v="4"/>
    <m/>
    <n v="7"/>
    <m/>
    <n v="5.5"/>
  </r>
  <r>
    <x v="4"/>
    <s v="Architecture"/>
    <s v="Authorization"/>
    <x v="1"/>
    <s v="Authorization, authentication, encryption - cookie, cookie handling, security interceptor"/>
    <s v="1.4.10"/>
    <s v="In"/>
    <m/>
    <n v="1.5"/>
    <n v="2.5"/>
    <n v="4"/>
    <m/>
    <n v="6"/>
    <m/>
    <n v="10"/>
    <m/>
    <n v="8"/>
  </r>
  <r>
    <x v="4"/>
    <s v="Architecture"/>
    <s v="Monitoring"/>
    <x v="2"/>
    <s v="check for available tools from Navisite and CQ5 tools"/>
    <m/>
    <s v="In"/>
    <m/>
    <n v="3"/>
    <n v="5"/>
    <n v="1"/>
    <m/>
    <n v="3"/>
    <m/>
    <n v="5"/>
    <m/>
    <n v="4"/>
  </r>
  <r>
    <x v="4"/>
    <s v="Architecture"/>
    <s v="Auditing and Compliance"/>
    <x v="1"/>
    <s v="Effort for scoping the exact details"/>
    <m/>
    <s v="Out"/>
    <m/>
    <n v="3"/>
    <n v="6"/>
    <n v="1"/>
    <m/>
    <s v=""/>
    <m/>
    <s v=""/>
    <m/>
    <s v=""/>
  </r>
  <r>
    <x v="4"/>
    <s v="Architecture"/>
    <s v="Versioning"/>
    <x v="1"/>
    <s v="Designing the Framework to define how the versioning requirements can be catered to"/>
    <m/>
    <s v="In"/>
    <m/>
    <n v="3"/>
    <n v="5"/>
    <n v="1"/>
    <m/>
    <n v="3"/>
    <m/>
    <n v="5"/>
    <m/>
    <n v="4"/>
  </r>
  <r>
    <x v="4"/>
    <s v="Architecture"/>
    <s v="Backup and Recovery"/>
    <x v="2"/>
    <s v="Designing the details around the backup and restore strategy"/>
    <m/>
    <s v="In"/>
    <m/>
    <n v="3"/>
    <n v="5"/>
    <n v="1"/>
    <m/>
    <n v="3"/>
    <m/>
    <n v="5"/>
    <m/>
    <n v="4"/>
  </r>
  <r>
    <x v="4"/>
    <s v="Technical"/>
    <s v="Email Templating"/>
    <x v="2"/>
    <s v="Designing the details around the strategy to define various templates"/>
    <m/>
    <s v="In"/>
    <m/>
    <n v="3"/>
    <n v="5"/>
    <n v="1"/>
    <m/>
    <n v="3"/>
    <m/>
    <n v="5"/>
    <m/>
    <n v="4"/>
  </r>
  <r>
    <x v="4"/>
    <s v="Architecture"/>
    <s v="SEO Requirements"/>
    <x v="2"/>
    <s v="Effort for scoping the exact details"/>
    <m/>
    <s v="In"/>
    <m/>
    <n v="3"/>
    <n v="5"/>
    <n v="1"/>
    <m/>
    <n v="3"/>
    <m/>
    <n v="5"/>
    <m/>
    <n v="4"/>
  </r>
  <r>
    <x v="4"/>
    <s v="Architecture"/>
    <s v="WORM Compliance"/>
    <x v="2"/>
    <m/>
    <m/>
    <s v="Out"/>
    <m/>
    <n v="8"/>
    <n v="10"/>
    <n v="1"/>
    <m/>
    <s v=""/>
    <m/>
    <s v=""/>
    <m/>
    <s v=""/>
  </r>
  <r>
    <x v="4"/>
    <s v="Architecture"/>
    <s v="Newsletter"/>
    <x v="2"/>
    <s v="Designing the details around the strategy to create and send newsletters"/>
    <s v="2.5.8"/>
    <s v="In"/>
    <m/>
    <n v="6"/>
    <n v="9"/>
    <n v="1"/>
    <m/>
    <n v="6"/>
    <m/>
    <n v="9"/>
    <m/>
    <n v="7.5"/>
  </r>
  <r>
    <x v="4"/>
    <s v="Architecture"/>
    <s v="Legacy and Vanity URL Support"/>
    <x v="1"/>
    <s v="Definign how the old urls will be supported"/>
    <m/>
    <s v="In"/>
    <m/>
    <n v="2"/>
    <n v="3"/>
    <n v="1"/>
    <m/>
    <n v="2"/>
    <m/>
    <n v="3"/>
    <m/>
    <n v="2.5"/>
  </r>
  <r>
    <x v="4"/>
    <s v="Content"/>
    <s v="DAM"/>
    <x v="1"/>
    <s v="Will be covered as a part of content matrix"/>
    <m/>
    <s v="In"/>
    <m/>
    <n v="5"/>
    <n v="7"/>
    <n v="1"/>
    <m/>
    <n v="5"/>
    <m/>
    <n v="7"/>
    <m/>
    <n v="6"/>
  </r>
  <r>
    <x v="4"/>
    <s v="Architecture"/>
    <s v="PDF generator"/>
    <x v="1"/>
    <s v="Evaluate a PDf generaqtion tool to accommodate to the requirements"/>
    <m/>
    <s v="In"/>
    <m/>
    <n v="2"/>
    <n v="3"/>
    <n v="1"/>
    <n v="0.25"/>
    <n v="2"/>
    <n v="0.5"/>
    <n v="3"/>
    <m/>
    <n v="2.5"/>
  </r>
  <r>
    <x v="4"/>
    <s v="Architecture"/>
    <s v="PDF form creation"/>
    <x v="2"/>
    <s v="Evaluate a PDf generation tool to accommodate to the requirements"/>
    <m/>
    <s v="In"/>
    <m/>
    <n v="2"/>
    <n v="3"/>
    <n v="1"/>
    <n v="0.25"/>
    <n v="2"/>
    <n v="0.5"/>
    <n v="3"/>
    <m/>
    <n v="2.5"/>
  </r>
  <r>
    <x v="4"/>
    <s v="Architecture"/>
    <s v="SAML/Genesis Component"/>
    <x v="2"/>
    <s v="Required for integration with Salesforce"/>
    <m/>
    <s v="In"/>
    <m/>
    <n v="2"/>
    <n v="3"/>
    <n v="1"/>
    <n v="0.25"/>
    <n v="2"/>
    <n v="0.5"/>
    <n v="3"/>
    <m/>
    <n v="2.5"/>
  </r>
  <r>
    <x v="4"/>
    <s v="Architecture"/>
    <s v="Digester framework for incorporating any new schema"/>
    <x v="1"/>
    <m/>
    <m/>
    <s v="In"/>
    <m/>
    <n v="2"/>
    <n v="3"/>
    <n v="1"/>
    <n v="0.25"/>
    <n v="2"/>
    <n v="0.5"/>
    <n v="3"/>
    <m/>
    <n v="2.5"/>
  </r>
  <r>
    <x v="4"/>
    <s v="Architecture"/>
    <s v="File Handler to process the required files from different sources"/>
    <x v="1"/>
    <m/>
    <m/>
    <s v="In"/>
    <m/>
    <n v="1"/>
    <n v="2"/>
    <n v="1"/>
    <n v="0.25"/>
    <n v="1"/>
    <n v="0.5"/>
    <n v="2"/>
    <m/>
    <n v="1.5"/>
  </r>
  <r>
    <x v="4"/>
    <s v="Architecture"/>
    <s v="Wrapper over the database integrations"/>
    <x v="2"/>
    <s v="JPA Integrations"/>
    <m/>
    <s v="In"/>
    <m/>
    <n v="3"/>
    <n v="5"/>
    <n v="1"/>
    <n v="0.25"/>
    <n v="3"/>
    <n v="0.5"/>
    <n v="5"/>
    <m/>
    <n v="4"/>
  </r>
  <r>
    <x v="4"/>
    <s v="Architecture"/>
    <s v="Detailing out the technical design for SEO reqiurements"/>
    <x v="1"/>
    <m/>
    <m/>
    <s v="In"/>
    <m/>
    <n v="2"/>
    <n v="3"/>
    <n v="1"/>
    <n v="0.25"/>
    <n v="2"/>
    <n v="0.5"/>
    <n v="3"/>
    <m/>
    <n v="2.5"/>
  </r>
  <r>
    <x v="4"/>
    <s v="Architecture"/>
    <s v="Design Personalization Framework"/>
    <x v="1"/>
    <s v="The personalization framework will define a consistent way of how the different views can be created for different types of users"/>
    <m/>
    <s v="In"/>
    <m/>
    <n v="2"/>
    <n v="3"/>
    <n v="1"/>
    <m/>
    <n v="2"/>
    <m/>
    <n v="3"/>
    <m/>
    <n v="2.5"/>
  </r>
  <r>
    <x v="4"/>
    <s v="Architecture"/>
    <s v="cms workflows"/>
    <x v="1"/>
    <s v="Definign the workflows that are requried to be created as a part od the system"/>
    <m/>
    <s v="In"/>
    <m/>
    <m/>
    <m/>
    <n v="1"/>
    <m/>
    <s v=""/>
    <m/>
    <s v=""/>
    <m/>
    <s v=""/>
  </r>
  <r>
    <x v="4"/>
    <s v="Architecture"/>
    <s v="Daily feeds from Synthesis"/>
    <x v="1"/>
    <m/>
    <m/>
    <s v="In"/>
    <m/>
    <n v="2"/>
    <n v="3"/>
    <n v="1"/>
    <m/>
    <n v="2"/>
    <m/>
    <n v="3"/>
    <m/>
    <n v="2.5"/>
  </r>
  <r>
    <x v="4"/>
    <s v="Architecture"/>
    <s v="Monthly and Quaterly feeds from Synthesis"/>
    <x v="1"/>
    <m/>
    <m/>
    <s v="In"/>
    <m/>
    <n v="2"/>
    <n v="3"/>
    <n v="1"/>
    <m/>
    <n v="2"/>
    <m/>
    <n v="3"/>
    <m/>
    <n v="2.5"/>
  </r>
  <r>
    <x v="4"/>
    <s v="Architecture"/>
    <s v="Dialy fund list from Morning Star"/>
    <x v="2"/>
    <m/>
    <m/>
    <s v="In"/>
    <m/>
    <n v="2"/>
    <n v="3"/>
    <n v="1"/>
    <m/>
    <n v="2"/>
    <m/>
    <n v="3"/>
    <m/>
    <n v="2.5"/>
  </r>
  <r>
    <x v="4"/>
    <s v="Architecture"/>
    <s v="Replication of newly created documents to DST"/>
    <x v="2"/>
    <s v="Assumign FTP solution"/>
    <m/>
    <s v="In"/>
    <m/>
    <n v="2"/>
    <n v="3"/>
    <n v="1"/>
    <m/>
    <n v="2"/>
    <m/>
    <n v="3"/>
    <m/>
    <n v="2.5"/>
  </r>
  <r>
    <x v="4"/>
    <s v="Architecture"/>
    <s v="Digestion data from Financial Advisor Database"/>
    <x v="2"/>
    <m/>
    <m/>
    <s v="In"/>
    <m/>
    <n v="2"/>
    <n v="4"/>
    <n v="1"/>
    <m/>
    <n v="2"/>
    <m/>
    <n v="4"/>
    <m/>
    <n v="3"/>
  </r>
  <r>
    <x v="4"/>
    <s v="Architecture"/>
    <s v="Ingestion of documents from Broadridge"/>
    <x v="2"/>
    <m/>
    <m/>
    <s v="In"/>
    <m/>
    <n v="2"/>
    <n v="3"/>
    <n v="1"/>
    <m/>
    <n v="2"/>
    <m/>
    <n v="3"/>
    <m/>
    <n v="2.5"/>
  </r>
  <r>
    <x v="4"/>
    <s v="Architecture"/>
    <s v="Salesforce - integration of user intreractions data back and forth"/>
    <x v="2"/>
    <s v="incoming for user data, for personalization, outgoing for user interaction history to Salesforce"/>
    <m/>
    <s v="In"/>
    <m/>
    <n v="3"/>
    <n v="5"/>
    <n v="1"/>
    <m/>
    <n v="3"/>
    <m/>
    <n v="5"/>
    <m/>
    <n v="4"/>
  </r>
  <r>
    <x v="4"/>
    <s v="Architecture"/>
    <s v="Salesforce - integration of CRM based leads data back and forth"/>
    <x v="1"/>
    <m/>
    <m/>
    <s v="Out"/>
    <m/>
    <n v="3"/>
    <n v="5"/>
    <n v="1"/>
    <m/>
    <s v=""/>
    <m/>
    <s v=""/>
    <m/>
    <s v=""/>
  </r>
  <r>
    <x v="4"/>
    <s v="Architecture"/>
    <s v="Integration with Document fullfillment system"/>
    <x v="2"/>
    <m/>
    <m/>
    <s v="In"/>
    <m/>
    <n v="2"/>
    <n v="3"/>
    <n v="1"/>
    <m/>
    <n v="2"/>
    <m/>
    <n v="3"/>
    <m/>
    <n v="2.5"/>
  </r>
  <r>
    <x v="4"/>
    <s v="Architecture"/>
    <s v="getting the user interaction history from site catalyst"/>
    <x v="2"/>
    <m/>
    <m/>
    <s v="In"/>
    <m/>
    <n v="4"/>
    <n v="6"/>
    <n v="1"/>
    <m/>
    <n v="4"/>
    <m/>
    <n v="6"/>
    <m/>
    <n v="5"/>
  </r>
  <r>
    <x v="4"/>
    <s v="Architecture"/>
    <s v="DAM workflow for Assett processing"/>
    <x v="1"/>
    <m/>
    <m/>
    <s v="In"/>
    <m/>
    <n v="3"/>
    <n v="5"/>
    <n v="1"/>
    <m/>
    <n v="3"/>
    <m/>
    <n v="5"/>
    <m/>
    <n v="4"/>
  </r>
  <r>
    <x v="4"/>
    <s v="Architecture"/>
    <s v="Jobs for sending across the mails\data based on business rules"/>
    <x v="2"/>
    <m/>
    <m/>
    <s v="In"/>
    <m/>
    <n v="4"/>
    <n v="7"/>
    <n v="1"/>
    <m/>
    <n v="4"/>
    <m/>
    <n v="7"/>
    <m/>
    <n v="5.5"/>
  </r>
  <r>
    <x v="4"/>
    <s v="Architecture"/>
    <s v="Workflow of managing video assets"/>
    <x v="1"/>
    <m/>
    <m/>
    <s v="In"/>
    <m/>
    <n v="3"/>
    <n v="5"/>
    <n v="1"/>
    <m/>
    <n v="3"/>
    <m/>
    <n v="5"/>
    <m/>
    <n v="4"/>
  </r>
  <r>
    <x v="4"/>
    <s v="Architecture"/>
    <s v="Ad Review Process - Tech Design"/>
    <x v="1"/>
    <m/>
    <m/>
    <s v="In"/>
    <m/>
    <n v="3"/>
    <n v="5"/>
    <n v="1"/>
    <m/>
    <n v="3"/>
    <m/>
    <n v="5"/>
    <m/>
    <n v="4"/>
  </r>
  <r>
    <x v="4"/>
    <s v="Architecture"/>
    <s v="Integration points"/>
    <x v="1"/>
    <m/>
    <m/>
    <s v="In"/>
    <m/>
    <m/>
    <m/>
    <n v="1"/>
    <m/>
    <s v=""/>
    <m/>
    <s v=""/>
    <m/>
    <s v=""/>
  </r>
  <r>
    <x v="4"/>
    <s v="Integration"/>
    <s v="Synthesis Integration "/>
    <x v="1"/>
    <s v="Low level design of integration, including method level definition of interfaces and services"/>
    <m/>
    <s v="In"/>
    <m/>
    <n v="3"/>
    <n v="5"/>
    <n v="1"/>
    <m/>
    <n v="3"/>
    <m/>
    <n v="5"/>
    <m/>
    <n v="4"/>
  </r>
  <r>
    <x v="4"/>
    <s v="Integration"/>
    <s v="DST Integraton"/>
    <x v="2"/>
    <s v="Low level design of integration, including method level definition of interfaces and services"/>
    <m/>
    <s v="In"/>
    <m/>
    <n v="1"/>
    <n v="2"/>
    <n v="1"/>
    <m/>
    <n v="1"/>
    <m/>
    <n v="2"/>
    <m/>
    <n v="1.5"/>
  </r>
  <r>
    <x v="4"/>
    <s v="Integration"/>
    <s v="Salesforce"/>
    <x v="2"/>
    <s v="Low level design of integration, including method level definition of interfaces and services"/>
    <m/>
    <s v="In"/>
    <m/>
    <n v="2"/>
    <n v="3"/>
    <n v="1"/>
    <m/>
    <n v="2"/>
    <m/>
    <n v="3"/>
    <m/>
    <n v="2.5"/>
  </r>
  <r>
    <x v="4"/>
    <s v="Integration"/>
    <s v="Morningstar"/>
    <x v="1"/>
    <s v="Low level design of integration, including method level definition of interfaces and services - REST API, iframe, and SSO integration"/>
    <m/>
    <s v="In"/>
    <m/>
    <n v="1"/>
    <n v="2"/>
    <n v="3"/>
    <m/>
    <n v="3"/>
    <m/>
    <n v="6"/>
    <m/>
    <n v="4.5"/>
  </r>
  <r>
    <x v="4"/>
    <s v="Integration"/>
    <s v="Broadridge"/>
    <x v="2"/>
    <s v="Low level design of integration, including method level definition of interfaces and services"/>
    <m/>
    <s v="In"/>
    <m/>
    <n v="2"/>
    <n v="3"/>
    <n v="1"/>
    <m/>
    <n v="2"/>
    <m/>
    <n v="3"/>
    <m/>
    <n v="2.5"/>
  </r>
  <r>
    <x v="4"/>
    <s v="Integration"/>
    <s v="LDAP"/>
    <x v="1"/>
    <s v="Low level design of integration, including method level definition of interfaces and services"/>
    <m/>
    <s v="In"/>
    <m/>
    <n v="3"/>
    <n v="5"/>
    <n v="1"/>
    <m/>
    <n v="3"/>
    <m/>
    <n v="5"/>
    <m/>
    <n v="4"/>
  </r>
  <r>
    <x v="4"/>
    <s v="Integration"/>
    <s v="SSO"/>
    <x v="1"/>
    <s v="The integration with SSO is out of scope considering the removl of DST"/>
    <m/>
    <s v="Out"/>
    <m/>
    <n v="5"/>
    <n v="7"/>
    <n v="1"/>
    <m/>
    <s v=""/>
    <m/>
    <s v=""/>
    <m/>
    <s v=""/>
  </r>
  <r>
    <x v="4"/>
    <s v="Integration"/>
    <s v="Document Fullfillment system"/>
    <x v="2"/>
    <m/>
    <m/>
    <s v="In"/>
    <m/>
    <n v="5"/>
    <n v="7"/>
    <n v="1"/>
    <m/>
    <n v="5"/>
    <m/>
    <n v="7"/>
    <m/>
    <n v="6"/>
  </r>
  <r>
    <x v="4"/>
    <s v="Integration"/>
    <s v="SMART Database"/>
    <x v="1"/>
    <s v="Low level design of integration, including method level definition of interfaces and services"/>
    <m/>
    <s v="Out"/>
    <m/>
    <n v="2"/>
    <n v="3"/>
    <n v="1"/>
    <m/>
    <s v=""/>
    <m/>
    <s v=""/>
    <m/>
    <s v=""/>
  </r>
  <r>
    <x v="4"/>
    <s v="Integration"/>
    <s v="Scene 7"/>
    <x v="1"/>
    <s v="Low level design of integration, including method level definition of interfaces and services"/>
    <m/>
    <s v="In"/>
    <m/>
    <n v="1"/>
    <n v="2"/>
    <n v="1"/>
    <m/>
    <n v="1"/>
    <m/>
    <n v="2"/>
    <m/>
    <n v="1.5"/>
  </r>
  <r>
    <x v="4"/>
    <s v="Integration"/>
    <s v="SourceOne"/>
    <x v="2"/>
    <s v="Low level design of integration, including method level definition of interfaces and services"/>
    <m/>
    <s v="Out"/>
    <m/>
    <n v="2"/>
    <n v="3"/>
    <n v="1"/>
    <m/>
    <s v=""/>
    <m/>
    <s v=""/>
    <m/>
    <s v=""/>
  </r>
  <r>
    <x v="4"/>
    <s v="Integration"/>
    <s v="Financial Advisor Database"/>
    <x v="2"/>
    <s v="Replacement for Prime"/>
    <m/>
    <s v="In"/>
    <m/>
    <n v="2"/>
    <n v="3"/>
    <n v="1"/>
    <m/>
    <n v="2"/>
    <m/>
    <n v="3"/>
    <m/>
    <n v="2.5"/>
  </r>
  <r>
    <x v="4"/>
    <s v="Integration"/>
    <s v="HIFP Database"/>
    <x v="1"/>
    <s v="One time migration of data"/>
    <m/>
    <s v="Out"/>
    <m/>
    <n v="2"/>
    <n v="3"/>
    <n v="1"/>
    <m/>
    <s v=""/>
    <m/>
    <s v=""/>
    <m/>
    <s v=""/>
  </r>
  <r>
    <x v="4"/>
    <s v="Integration"/>
    <s v="Custom Database"/>
    <x v="1"/>
    <s v="Low level design of integration, including method level definition of interfaces and services"/>
    <m/>
    <s v="In"/>
    <m/>
    <n v="2"/>
    <n v="3"/>
    <n v="1"/>
    <m/>
    <n v="2"/>
    <m/>
    <n v="3"/>
    <m/>
    <n v="2.5"/>
  </r>
  <r>
    <x v="4"/>
    <s v="CMS Dev"/>
    <s v="Technical Design - Batch C and Batch D"/>
    <x v="1"/>
    <m/>
    <m/>
    <s v="In"/>
    <m/>
    <m/>
    <m/>
    <n v="1"/>
    <m/>
    <s v=""/>
    <m/>
    <s v=""/>
    <m/>
    <s v=""/>
  </r>
  <r>
    <x v="4"/>
    <s v="CMS Dev"/>
    <s v="Cart confirmation"/>
    <x v="1"/>
    <m/>
    <m/>
    <s v="In"/>
    <s v="Component Design - Simple"/>
    <n v="1.0625"/>
    <n v="1.875"/>
    <n v="1"/>
    <n v="2"/>
    <n v="1.0625"/>
    <n v="3"/>
    <n v="1.875"/>
    <m/>
    <n v="1.5"/>
  </r>
  <r>
    <x v="4"/>
    <s v="CMS Dev"/>
    <s v="Cart delivery"/>
    <x v="1"/>
    <m/>
    <m/>
    <s v="In"/>
    <s v="Component Design - Medium"/>
    <n v="1.5"/>
    <n v="2.3125"/>
    <n v="1"/>
    <n v="1.5"/>
    <n v="1.5"/>
    <n v="2.3125"/>
    <n v="2.3125"/>
    <m/>
    <n v="1.9"/>
  </r>
  <r>
    <x v="4"/>
    <s v="CMS Dev"/>
    <s v="Cart details"/>
    <x v="1"/>
    <m/>
    <m/>
    <s v="In"/>
    <s v="Component Design - Simple"/>
    <n v="1.0625"/>
    <n v="1.875"/>
    <n v="1"/>
    <n v="1"/>
    <n v="1.0625"/>
    <n v="2"/>
    <n v="1.875"/>
    <m/>
    <n v="1.5"/>
  </r>
  <r>
    <x v="4"/>
    <s v="CMS Dev"/>
    <s v="Fund List"/>
    <x v="1"/>
    <m/>
    <m/>
    <s v="In"/>
    <s v="Component Design - Medium"/>
    <n v="1.5"/>
    <n v="2.3125"/>
    <n v="1"/>
    <n v="1.5"/>
    <n v="1.5"/>
    <n v="2.3125"/>
    <n v="2.3125"/>
    <m/>
    <n v="1.9"/>
  </r>
  <r>
    <x v="4"/>
    <s v="CMS Dev"/>
    <s v="Search Filters"/>
    <x v="1"/>
    <m/>
    <m/>
    <s v="In"/>
    <s v="Component Design - High"/>
    <n v="2.5"/>
    <n v="3.75"/>
    <n v="1"/>
    <n v="2.5"/>
    <n v="2.5"/>
    <n v="3.75"/>
    <n v="3.75"/>
    <m/>
    <n v="3.1"/>
  </r>
  <r>
    <x v="4"/>
    <s v="CMS Dev"/>
    <s v="Login"/>
    <x v="1"/>
    <m/>
    <m/>
    <s v="In"/>
    <s v="Component Design - Medium"/>
    <n v="1.5"/>
    <n v="2.3125"/>
    <n v="1"/>
    <n v="1.5"/>
    <n v="1.5"/>
    <n v="2.3125"/>
    <n v="2.3125"/>
    <m/>
    <n v="1.9"/>
  </r>
  <r>
    <x v="4"/>
    <s v="CMS Dev"/>
    <s v="Registration"/>
    <x v="1"/>
    <m/>
    <s v="1.4.8"/>
    <s v="In"/>
    <s v="Component Design - Medium"/>
    <n v="1.5"/>
    <n v="2.3125"/>
    <n v="1"/>
    <n v="1.5"/>
    <n v="1.5"/>
    <n v="2.3125"/>
    <n v="2.3125"/>
    <m/>
    <n v="1.9"/>
  </r>
  <r>
    <x v="4"/>
    <s v="CMS Dev"/>
    <s v="Manage profile"/>
    <x v="1"/>
    <m/>
    <m/>
    <s v="In"/>
    <s v="Component Design - Simple"/>
    <n v="1.0625"/>
    <n v="1.875"/>
    <n v="1"/>
    <n v="2"/>
    <n v="1.0625"/>
    <n v="3"/>
    <n v="1.875"/>
    <m/>
    <n v="1.5"/>
  </r>
  <r>
    <x v="4"/>
    <s v="CMS Dev"/>
    <s v="Manage subscriptions - Mail"/>
    <x v="1"/>
    <m/>
    <m/>
    <s v="In"/>
    <s v="Component Design - Simple"/>
    <n v="1.0625"/>
    <n v="1.875"/>
    <n v="1"/>
    <n v="1"/>
    <n v="1.0625"/>
    <n v="2"/>
    <n v="1.875"/>
    <m/>
    <n v="1.5"/>
  </r>
  <r>
    <x v="4"/>
    <s v="CMS Dev"/>
    <s v="Manage subscriptions - Postal"/>
    <x v="1"/>
    <m/>
    <m/>
    <s v="In"/>
    <s v="Component Design - Simple"/>
    <n v="1.0625"/>
    <n v="1.875"/>
    <n v="1"/>
    <n v="1"/>
    <n v="1.0625"/>
    <n v="2"/>
    <n v="1.875"/>
    <m/>
    <n v="1.5"/>
  </r>
  <r>
    <x v="4"/>
    <s v="CMS Dev"/>
    <s v="Email communications"/>
    <x v="1"/>
    <m/>
    <m/>
    <s v="In"/>
    <s v="Component Design - Simple"/>
    <n v="1.0625"/>
    <n v="1.875"/>
    <n v="1"/>
    <n v="1"/>
    <n v="1.0625"/>
    <n v="2"/>
    <n v="1.875"/>
    <m/>
    <n v="1.5"/>
  </r>
  <r>
    <x v="4"/>
    <s v="CMS Dev"/>
    <s v="Sales Tools &amp; Illustrations"/>
    <x v="1"/>
    <m/>
    <s v="1.5.2"/>
    <s v="Out"/>
    <s v="Component Design - Medium"/>
    <n v="1.5"/>
    <n v="2.3125"/>
    <n v="1"/>
    <n v="1.5"/>
    <s v=""/>
    <n v="2.3125"/>
    <s v=""/>
    <m/>
    <s v=""/>
  </r>
  <r>
    <x v="4"/>
    <s v="CMS Dev"/>
    <s v="Calculators"/>
    <x v="1"/>
    <m/>
    <s v="1.5.2"/>
    <s v="In"/>
    <s v="Component Design - Simple"/>
    <n v="1.0625"/>
    <n v="1.875"/>
    <n v="1"/>
    <n v="1.0625"/>
    <n v="1.0625"/>
    <n v="1.875"/>
    <n v="1.875"/>
    <m/>
    <n v="1.5"/>
  </r>
  <r>
    <x v="4"/>
    <s v="CMS Dev"/>
    <s v="Press releases"/>
    <x v="1"/>
    <s v="1.1.11.1"/>
    <m/>
    <s v="In"/>
    <s v="Component Design - Simple"/>
    <n v="1.0625"/>
    <n v="1.875"/>
    <n v="1"/>
    <n v="1"/>
    <n v="1.0625"/>
    <n v="2"/>
    <n v="1.875"/>
    <m/>
    <n v="1.5"/>
  </r>
  <r>
    <x v="4"/>
    <s v="CMS Dev"/>
    <s v="FAQs"/>
    <x v="1"/>
    <s v="1.1.11.2"/>
    <m/>
    <s v="In"/>
    <s v="Component Design - Simple"/>
    <n v="1.0625"/>
    <n v="1.875"/>
    <n v="1"/>
    <n v="1"/>
    <n v="1.0625"/>
    <n v="2"/>
    <n v="1.875"/>
    <m/>
    <n v="1.5"/>
  </r>
  <r>
    <x v="4"/>
    <s v="CMS Dev"/>
    <s v="Careers"/>
    <x v="1"/>
    <s v="1.1.11.4"/>
    <m/>
    <s v="In"/>
    <s v="Component Design - Simple"/>
    <n v="1.0625"/>
    <n v="1.875"/>
    <n v="1"/>
    <n v="1"/>
    <n v="1.0625"/>
    <n v="2"/>
    <n v="1.875"/>
    <m/>
    <n v="1.5"/>
  </r>
  <r>
    <x v="4"/>
    <s v="CMS Dev"/>
    <s v="Order History"/>
    <x v="1"/>
    <m/>
    <m/>
    <s v="In"/>
    <s v="Component Design - Simple"/>
    <n v="1.0625"/>
    <n v="1.875"/>
    <n v="1"/>
    <n v="1"/>
    <n v="1.0625"/>
    <n v="2"/>
    <n v="1.875"/>
    <m/>
    <n v="1.5"/>
  </r>
  <r>
    <x v="4"/>
    <s v="CMS Dev"/>
    <s v="Design variations of Fund details page"/>
    <x v="1"/>
    <m/>
    <m/>
    <s v="In"/>
    <m/>
    <n v="6"/>
    <n v="8"/>
    <n v="1"/>
    <n v="2"/>
    <n v="6"/>
    <n v="2.5"/>
    <n v="8"/>
    <m/>
    <n v="7"/>
  </r>
  <r>
    <x v="4"/>
    <s v="CMS Dev"/>
    <s v="Additional Templates"/>
    <x v="2"/>
    <s v="Considering 5 additional templates"/>
    <m/>
    <s v="In"/>
    <m/>
    <n v="1"/>
    <n v="2"/>
    <n v="5"/>
    <n v="1.4375"/>
    <n v="5"/>
    <n v="2.0625"/>
    <n v="10"/>
    <m/>
    <n v="7.5"/>
  </r>
  <r>
    <x v="4"/>
    <s v="CMS Dev"/>
    <s v="Additional Components"/>
    <x v="2"/>
    <s v="considering 7 additional componentswithoutpersonalization"/>
    <m/>
    <s v="In"/>
    <s v="Component Design - Simple"/>
    <n v="1.0625"/>
    <n v="1.875"/>
    <n v="7"/>
    <n v="1.0625"/>
    <n v="7.4375"/>
    <n v="1.875"/>
    <n v="13.125"/>
    <m/>
    <n v="10.3"/>
  </r>
  <r>
    <x v="4"/>
    <s v="CMS Dev"/>
    <s v="Additional Components"/>
    <x v="2"/>
    <s v="considering 8 additional with personalization"/>
    <m/>
    <s v="In"/>
    <s v="Component Design - Medium"/>
    <n v="1.5"/>
    <n v="2.3125"/>
    <n v="8"/>
    <n v="1.5"/>
    <n v="12"/>
    <n v="2.3125"/>
    <n v="18.5"/>
    <m/>
    <n v="15.3"/>
  </r>
  <r>
    <x v="4"/>
    <s v="CMS Dev"/>
    <s v="Sitemap"/>
    <x v="1"/>
    <m/>
    <m/>
    <s v="In"/>
    <s v="Component Design - Simple"/>
    <n v="1.0625"/>
    <n v="1.875"/>
    <n v="1"/>
    <n v="1"/>
    <n v="1.0625"/>
    <n v="2"/>
    <n v="1.875"/>
    <m/>
    <n v="1.5"/>
  </r>
  <r>
    <x v="4"/>
    <s v="CMS Dev"/>
    <s v="Site Help"/>
    <x v="1"/>
    <s v="Static hep content to be displayed"/>
    <m/>
    <s v="In"/>
    <s v="Component Design - Simple"/>
    <n v="1.0625"/>
    <n v="1.875"/>
    <n v="1"/>
    <n v="1"/>
    <n v="1.0625"/>
    <n v="2"/>
    <n v="1.875"/>
    <m/>
    <n v="1.5"/>
  </r>
  <r>
    <x v="0"/>
    <m/>
    <s v="Implementation"/>
    <x v="0"/>
    <m/>
    <m/>
    <s v="In"/>
    <m/>
    <m/>
    <m/>
    <n v="1"/>
    <m/>
    <s v=""/>
    <m/>
    <s v=""/>
    <m/>
    <s v=""/>
  </r>
  <r>
    <x v="5"/>
    <s v="CMS Dev"/>
    <s v="Create the code structure"/>
    <x v="1"/>
    <s v="Creation of required projects and configurations"/>
    <m/>
    <s v="In"/>
    <m/>
    <n v="1"/>
    <n v="2"/>
    <n v="1"/>
    <m/>
    <n v="1"/>
    <m/>
    <n v="2"/>
    <m/>
    <n v="1.5"/>
  </r>
  <r>
    <x v="0"/>
    <s v="CMS Dev"/>
    <s v="Framework Components - Implementation_x000a_"/>
    <x v="2"/>
    <m/>
    <m/>
    <s v="In"/>
    <m/>
    <m/>
    <m/>
    <m/>
    <m/>
    <s v=""/>
    <m/>
    <s v=""/>
    <m/>
    <s v=""/>
  </r>
  <r>
    <x v="5"/>
    <s v="CMS Dev"/>
    <s v="Logging/Exception Handling "/>
    <x v="1"/>
    <s v="Reuse of framework components from SDG"/>
    <m/>
    <s v="In"/>
    <m/>
    <n v="1"/>
    <n v="2"/>
    <n v="1"/>
    <m/>
    <n v="1"/>
    <m/>
    <n v="2"/>
    <m/>
    <n v="1.5"/>
  </r>
  <r>
    <x v="5"/>
    <s v="CMS Dev"/>
    <s v="Caching"/>
    <x v="2"/>
    <s v="Reuse of framework components from SDG"/>
    <m/>
    <s v="In"/>
    <m/>
    <n v="3"/>
    <n v="5"/>
    <n v="1"/>
    <m/>
    <n v="3"/>
    <m/>
    <n v="5"/>
    <m/>
    <n v="4"/>
  </r>
  <r>
    <x v="5"/>
    <s v="CMS Dev"/>
    <s v="Configuration Management"/>
    <x v="1"/>
    <s v="Reuse of framework components from SDG"/>
    <m/>
    <s v="In"/>
    <m/>
    <n v="2"/>
    <n v="3"/>
    <n v="1"/>
    <m/>
    <n v="2"/>
    <m/>
    <n v="3"/>
    <m/>
    <n v="2.5"/>
  </r>
  <r>
    <x v="5"/>
    <s v="CMS Dev"/>
    <s v="Reporting &amp; Notification and Alerts"/>
    <x v="2"/>
    <s v="Implementing the framework for any reporting or notification that need to be don’e by the system. This will be extension of OOTB functionalities to cater to the needs"/>
    <m/>
    <s v="In"/>
    <m/>
    <n v="4"/>
    <n v="6"/>
    <n v="1"/>
    <m/>
    <n v="4"/>
    <m/>
    <n v="6"/>
    <m/>
    <n v="5"/>
  </r>
  <r>
    <x v="5"/>
    <s v="CMS Dev"/>
    <s v="Session Management"/>
    <x v="1"/>
    <s v="Implmenting the framework for creating and managing user sessions, cookies etc."/>
    <m/>
    <s v="In"/>
    <m/>
    <n v="3"/>
    <n v="5"/>
    <n v="1"/>
    <m/>
    <n v="3"/>
    <m/>
    <n v="5"/>
    <m/>
    <n v="4"/>
  </r>
  <r>
    <x v="5"/>
    <s v="CMS Dev"/>
    <s v="Security"/>
    <x v="2"/>
    <s v="Implementation of security related items such as XSS protection, cookie protection etc., extenstion of framewrok"/>
    <m/>
    <s v="In"/>
    <m/>
    <n v="4"/>
    <n v="6"/>
    <n v="1"/>
    <m/>
    <n v="4"/>
    <m/>
    <n v="6"/>
    <m/>
    <n v="5"/>
  </r>
  <r>
    <x v="5"/>
    <s v="CMS Dev"/>
    <s v="Monitoring"/>
    <x v="2"/>
    <s v="Creation of monitoring script for application healthcheck"/>
    <m/>
    <s v="In"/>
    <m/>
    <n v="4"/>
    <n v="6"/>
    <n v="2"/>
    <m/>
    <n v="8"/>
    <m/>
    <n v="12"/>
    <m/>
    <n v="10"/>
  </r>
  <r>
    <x v="5"/>
    <s v="CMS Dev"/>
    <s v="PDF generator"/>
    <x v="2"/>
    <s v="Evaluate a PDf generaqtion tool to accommodate to the requirements"/>
    <m/>
    <s v="In"/>
    <m/>
    <n v="3"/>
    <n v="5"/>
    <n v="1"/>
    <n v="0.25"/>
    <n v="3"/>
    <n v="0.5"/>
    <n v="5"/>
    <m/>
    <n v="4"/>
  </r>
  <r>
    <x v="5"/>
    <s v="CMS Dev"/>
    <s v="PDF form creation"/>
    <x v="2"/>
    <s v="Evaluate a PDf generaqtion tool to accommodate to the requirements"/>
    <m/>
    <s v="In"/>
    <m/>
    <n v="3"/>
    <n v="5"/>
    <n v="1"/>
    <n v="0.25"/>
    <n v="3"/>
    <n v="0.5"/>
    <n v="5"/>
    <m/>
    <n v="4"/>
  </r>
  <r>
    <x v="5"/>
    <s v="CMS Dev"/>
    <s v="SAML/Genesis Component"/>
    <x v="2"/>
    <s v="Required for integration with Salesforce"/>
    <m/>
    <s v="In"/>
    <m/>
    <n v="3"/>
    <n v="5"/>
    <n v="1"/>
    <n v="0.25"/>
    <n v="3"/>
    <n v="0.5"/>
    <n v="5"/>
    <m/>
    <n v="4"/>
  </r>
  <r>
    <x v="6"/>
    <s v="Integration"/>
    <s v="Digester framework for incorporating any new schema"/>
    <x v="1"/>
    <m/>
    <m/>
    <s v="In"/>
    <m/>
    <n v="7"/>
    <n v="9"/>
    <n v="1"/>
    <n v="0.25"/>
    <n v="7"/>
    <n v="0.5"/>
    <n v="9"/>
    <m/>
    <n v="8"/>
  </r>
  <r>
    <x v="6"/>
    <s v="Integration"/>
    <s v="File Handler to process the required files from different sources"/>
    <x v="1"/>
    <m/>
    <m/>
    <s v="In"/>
    <m/>
    <n v="2"/>
    <n v="3"/>
    <n v="1"/>
    <n v="0.25"/>
    <n v="2"/>
    <n v="0.5"/>
    <n v="3"/>
    <m/>
    <n v="2.5"/>
  </r>
  <r>
    <x v="6"/>
    <s v="Integration"/>
    <s v="Wrapper over the database integrations"/>
    <x v="2"/>
    <s v="JPA Integrations"/>
    <m/>
    <s v="In"/>
    <m/>
    <n v="5"/>
    <n v="7"/>
    <n v="1"/>
    <n v="0.25"/>
    <n v="5"/>
    <n v="0.5"/>
    <n v="7"/>
    <m/>
    <n v="6"/>
  </r>
  <r>
    <x v="5"/>
    <s v="CMS Dev"/>
    <s v="Implementation of the SEO reqiurements"/>
    <x v="2"/>
    <m/>
    <m/>
    <s v="In"/>
    <m/>
    <n v="8"/>
    <n v="10"/>
    <n v="1"/>
    <n v="0.25"/>
    <n v="8"/>
    <n v="0.5"/>
    <n v="10"/>
    <m/>
    <n v="9"/>
  </r>
  <r>
    <x v="7"/>
    <s v="CMS Dev"/>
    <s v="Build and Release processes and scripts"/>
    <x v="1"/>
    <s v="Reuse of scripts from SDG"/>
    <m/>
    <s v="In"/>
    <m/>
    <n v="6"/>
    <n v="8"/>
    <n v="2"/>
    <m/>
    <n v="12"/>
    <m/>
    <n v="16"/>
    <m/>
    <n v="14"/>
  </r>
  <r>
    <x v="7"/>
    <s v="CMS Dev"/>
    <s v="Development Machine setups"/>
    <x v="1"/>
    <m/>
    <m/>
    <s v="In"/>
    <m/>
    <n v="0.5"/>
    <n v="1"/>
    <n v="6"/>
    <n v="0.5"/>
    <n v="3"/>
    <n v="1"/>
    <n v="6"/>
    <m/>
    <n v="4.5"/>
  </r>
  <r>
    <x v="7"/>
    <s v="CMS Dev"/>
    <s v="Dev/CI server setup"/>
    <x v="1"/>
    <s v="Creation of environment including scripts to auto uild and deploy"/>
    <m/>
    <s v="Out"/>
    <m/>
    <n v="3"/>
    <n v="5"/>
    <n v="1"/>
    <n v="1.25"/>
    <s v=""/>
    <n v="2.25"/>
    <s v=""/>
    <m/>
    <s v=""/>
  </r>
  <r>
    <x v="7"/>
    <s v="CMS Dev"/>
    <s v="QA Server Setup"/>
    <x v="1"/>
    <s v="Creation of environment including scripts to auto build and deploy"/>
    <m/>
    <s v="In"/>
    <m/>
    <n v="3"/>
    <n v="5"/>
    <n v="1"/>
    <n v="1.25"/>
    <n v="3"/>
    <n v="2.25"/>
    <n v="5"/>
    <m/>
    <n v="4"/>
  </r>
  <r>
    <x v="5"/>
    <s v="CMS Dev"/>
    <s v="Site Catalyst integraton"/>
    <x v="2"/>
    <m/>
    <m/>
    <s v="In"/>
    <m/>
    <n v="7"/>
    <n v="10"/>
    <n v="1"/>
    <m/>
    <n v="7"/>
    <m/>
    <n v="10"/>
    <m/>
    <n v="8.5"/>
  </r>
  <r>
    <x v="5"/>
    <s v="CMS Dev"/>
    <s v="Implement User permissions"/>
    <x v="2"/>
    <s v="Define roles and registration types"/>
    <s v="1.4.1, 1.4.2, 1.4.4"/>
    <s v="In"/>
    <m/>
    <n v="5"/>
    <n v="8"/>
    <n v="1"/>
    <m/>
    <n v="5"/>
    <m/>
    <n v="8"/>
    <m/>
    <n v="6.5"/>
  </r>
  <r>
    <x v="5"/>
    <s v="CMS Dev"/>
    <s v="Implement ACL settings for DAM assets"/>
    <x v="2"/>
    <m/>
    <s v="1.4.1, 1.4.2, 1.4.4"/>
    <s v="In"/>
    <m/>
    <n v="3"/>
    <n v="5"/>
    <n v="1"/>
    <m/>
    <n v="3"/>
    <m/>
    <n v="5"/>
    <m/>
    <n v="4"/>
  </r>
  <r>
    <x v="5"/>
    <s v="CMS Dev"/>
    <s v="Implement Personalization Framework"/>
    <x v="2"/>
    <s v="The personalization framework will define a onsistent way of how the different views can be created for different types of users"/>
    <m/>
    <s v="In"/>
    <m/>
    <n v="12"/>
    <n v="17"/>
    <n v="1"/>
    <m/>
    <n v="12"/>
    <m/>
    <n v="17"/>
    <m/>
    <n v="14.5"/>
  </r>
  <r>
    <x v="5"/>
    <s v="CMS Dev"/>
    <s v="Versioning"/>
    <x v="2"/>
    <s v="Implementing Framework to define how the versioning requirements can be catered to"/>
    <m/>
    <s v="In"/>
    <m/>
    <n v="7"/>
    <n v="12"/>
    <n v="1"/>
    <m/>
    <n v="7"/>
    <m/>
    <n v="12"/>
    <m/>
    <n v="9.5"/>
  </r>
  <r>
    <x v="5"/>
    <s v="CMS Dev"/>
    <s v="Legacy and Vanit Url support"/>
    <x v="2"/>
    <s v="Implementing Framework to define how the legacy and vanity urls will be supported"/>
    <m/>
    <s v="In"/>
    <m/>
    <n v="3"/>
    <n v="5"/>
    <n v="1"/>
    <m/>
    <n v="3"/>
    <m/>
    <n v="5"/>
    <m/>
    <n v="4"/>
  </r>
  <r>
    <x v="5"/>
    <s v="CMS Dev"/>
    <s v="Backup and Recovery"/>
    <x v="2"/>
    <s v="Implementing the backup and restore strategy"/>
    <m/>
    <s v="In"/>
    <m/>
    <n v="5"/>
    <n v="8"/>
    <n v="1"/>
    <m/>
    <n v="5"/>
    <m/>
    <n v="8"/>
    <m/>
    <n v="6.5"/>
  </r>
  <r>
    <x v="5"/>
    <s v="CMS Dev"/>
    <s v="Implement Standard content search"/>
    <x v="2"/>
    <s v="Includes definition of indexed content, search boosting and other configurations"/>
    <s v="1.2.1"/>
    <s v="In"/>
    <m/>
    <n v="6"/>
    <n v="8"/>
    <n v="1"/>
    <m/>
    <n v="6"/>
    <m/>
    <n v="8"/>
    <m/>
    <n v="7"/>
  </r>
  <r>
    <x v="5"/>
    <s v="CMS Dev"/>
    <s v="Implement Fund related search"/>
    <x v="2"/>
    <m/>
    <s v="1.2.1"/>
    <s v="In"/>
    <m/>
    <n v="3"/>
    <n v="5"/>
    <n v="1"/>
    <m/>
    <n v="3"/>
    <m/>
    <n v="5"/>
    <m/>
    <n v="4"/>
  </r>
  <r>
    <x v="5"/>
    <s v="CMS Dev"/>
    <s v="Implement Filtering of search results"/>
    <x v="2"/>
    <m/>
    <s v="1.2.2"/>
    <s v="In"/>
    <m/>
    <n v="3"/>
    <n v="5"/>
    <n v="1"/>
    <m/>
    <n v="3"/>
    <m/>
    <n v="5"/>
    <m/>
    <n v="4"/>
  </r>
  <r>
    <x v="5"/>
    <s v="CMS Dev"/>
    <s v="Implement Sort options"/>
    <x v="2"/>
    <m/>
    <s v="1.2.2"/>
    <s v="In"/>
    <m/>
    <n v="2"/>
    <n v="3"/>
    <n v="1"/>
    <m/>
    <n v="2"/>
    <m/>
    <n v="3"/>
    <m/>
    <n v="2.5"/>
  </r>
  <r>
    <x v="5"/>
    <s v="CMS Dev"/>
    <s v="Implement Pagination Framework"/>
    <x v="2"/>
    <m/>
    <s v="1.2.2"/>
    <s v="In"/>
    <m/>
    <n v="4"/>
    <n v="6"/>
    <n v="1"/>
    <m/>
    <n v="4"/>
    <m/>
    <n v="6"/>
    <m/>
    <n v="5"/>
  </r>
  <r>
    <x v="5"/>
    <s v="CMS Dev"/>
    <s v="Implement Finding Content Based on Faceted Search (e.g., Rating)"/>
    <x v="2"/>
    <m/>
    <s v="1.2.3"/>
    <s v="In"/>
    <m/>
    <n v="3"/>
    <n v="5"/>
    <n v="1"/>
    <m/>
    <n v="3"/>
    <m/>
    <n v="5"/>
    <m/>
    <n v="4"/>
  </r>
  <r>
    <x v="5"/>
    <s v="CMS Dev"/>
    <s v="Implement Predictive search (based on taxonomy of terms)"/>
    <x v="2"/>
    <m/>
    <s v="1.2.4"/>
    <s v="In"/>
    <m/>
    <n v="2"/>
    <n v="3"/>
    <n v="1"/>
    <m/>
    <n v="2"/>
    <m/>
    <n v="3"/>
    <m/>
    <n v="2.5"/>
  </r>
  <r>
    <x v="5"/>
    <s v="CMS Dev"/>
    <s v="Implement Context- or Needs-based search"/>
    <x v="2"/>
    <m/>
    <s v="1.2.5"/>
    <s v="In"/>
    <m/>
    <n v="4"/>
    <n v="6"/>
    <n v="1"/>
    <m/>
    <n v="4"/>
    <m/>
    <n v="6"/>
    <m/>
    <n v="5"/>
  </r>
  <r>
    <x v="5"/>
    <s v="CMS Dev"/>
    <s v="Implement SEO requirements as part of basic framework"/>
    <x v="2"/>
    <m/>
    <m/>
    <s v="In"/>
    <m/>
    <n v="5"/>
    <n v="7"/>
    <n v="1"/>
    <m/>
    <n v="5"/>
    <m/>
    <n v="7"/>
    <m/>
    <n v="6"/>
  </r>
  <r>
    <x v="5"/>
    <s v="CMS Dev"/>
    <s v="Analytics Configuration and Integration"/>
    <x v="2"/>
    <s v="Site Catalyst will be used for analytics"/>
    <m/>
    <s v="In"/>
    <m/>
    <n v="8"/>
    <n v="12"/>
    <n v="1"/>
    <m/>
    <n v="8"/>
    <m/>
    <n v="12"/>
    <m/>
    <n v="10"/>
  </r>
  <r>
    <x v="5"/>
    <s v="CMS Dev"/>
    <s v="Confidure site catalyst for reports"/>
    <x v="2"/>
    <s v="Assumign 15 reports to be configured"/>
    <m/>
    <s v="In"/>
    <m/>
    <n v="2"/>
    <n v="3"/>
    <n v="15"/>
    <m/>
    <n v="30"/>
    <m/>
    <n v="45"/>
    <m/>
    <n v="37.5"/>
  </r>
  <r>
    <x v="5"/>
    <s v="CMS Dev"/>
    <s v="Create basic site/content structure"/>
    <x v="1"/>
    <m/>
    <m/>
    <s v="In"/>
    <m/>
    <n v="1"/>
    <n v="2"/>
    <n v="1"/>
    <m/>
    <n v="1"/>
    <m/>
    <n v="2"/>
    <m/>
    <n v="1.5"/>
  </r>
  <r>
    <x v="5"/>
    <s v="CMS Dev"/>
    <s v="Create basic DAM structure"/>
    <x v="1"/>
    <s v="Need to take care of the permissions and rules"/>
    <m/>
    <s v="In"/>
    <m/>
    <n v="3"/>
    <n v="5"/>
    <n v="1"/>
    <m/>
    <n v="3"/>
    <m/>
    <n v="5"/>
    <m/>
    <n v="4"/>
  </r>
  <r>
    <x v="5"/>
    <s v="CMS Dev"/>
    <s v="Extension of DAM for additional metadata"/>
    <x v="1"/>
    <m/>
    <m/>
    <s v="In"/>
    <m/>
    <n v="4"/>
    <n v="6"/>
    <n v="1"/>
    <m/>
    <n v="4"/>
    <m/>
    <n v="6"/>
    <m/>
    <n v="5"/>
  </r>
  <r>
    <x v="5"/>
    <s v="CMS Dev"/>
    <s v="Implement taxonomy structure and metedata details"/>
    <x v="1"/>
    <m/>
    <m/>
    <s v="In"/>
    <m/>
    <n v="3"/>
    <n v="5"/>
    <n v="1"/>
    <m/>
    <n v="3"/>
    <m/>
    <n v="5"/>
    <m/>
    <n v="4"/>
  </r>
  <r>
    <x v="5"/>
    <s v="CMS Dev"/>
    <s v="CMS Workflows"/>
    <x v="2"/>
    <m/>
    <m/>
    <s v="Out"/>
    <m/>
    <n v="3.625"/>
    <n v="5.875"/>
    <n v="5"/>
    <n v="3.625"/>
    <s v=""/>
    <n v="5.875"/>
    <s v=""/>
    <m/>
    <s v=""/>
  </r>
  <r>
    <x v="5"/>
    <s v="CMS Dev"/>
    <s v="Creation of publishing workflows"/>
    <x v="2"/>
    <s v="Assuming 5 workflows to be created"/>
    <m/>
    <s v="In"/>
    <s v="Design and Implement  Workflow : Medium "/>
    <n v="3.625"/>
    <n v="5.875"/>
    <n v="5"/>
    <n v="3.625"/>
    <n v="18.125"/>
    <n v="5.875"/>
    <n v="29.375"/>
    <m/>
    <n v="23.8"/>
  </r>
  <r>
    <x v="5"/>
    <s v="CMS Dev"/>
    <s v="Daily feeds from Synthesis"/>
    <x v="1"/>
    <m/>
    <m/>
    <s v="In"/>
    <s v="Design and Implement  Workflow : Simple"/>
    <n v="1.75"/>
    <n v="3.25"/>
    <n v="1"/>
    <n v="2"/>
    <n v="1.75"/>
    <n v="3"/>
    <n v="3.25"/>
    <m/>
    <n v="2.5"/>
  </r>
  <r>
    <x v="5"/>
    <s v="CMS Dev"/>
    <s v="Monthly and Quaterly feeds from Synthesis"/>
    <x v="2"/>
    <s v="Cnsidering 8 xmls to be considered"/>
    <m/>
    <s v="In"/>
    <s v="Design and Implement  Workflow : Simple"/>
    <n v="1.75"/>
    <n v="3.25"/>
    <n v="4"/>
    <n v="1.75"/>
    <n v="7"/>
    <n v="3.25"/>
    <n v="13"/>
    <m/>
    <n v="10"/>
  </r>
  <r>
    <x v="5"/>
    <s v="CMS Dev"/>
    <s v="Dialy fund list from Morning Star"/>
    <x v="2"/>
    <m/>
    <m/>
    <s v="In"/>
    <s v="Design and Implement  Workflow : Simple"/>
    <n v="1.75"/>
    <n v="3.25"/>
    <n v="1"/>
    <n v="2"/>
    <n v="1.75"/>
    <n v="3"/>
    <n v="3.25"/>
    <m/>
    <n v="2.5"/>
  </r>
  <r>
    <x v="5"/>
    <s v="CMS Dev"/>
    <s v="Replication of newly created documents to DST"/>
    <x v="2"/>
    <s v="Assumign FTP solution"/>
    <m/>
    <s v="In"/>
    <s v="Design and Implement  Workflow : Medium "/>
    <n v="3.625"/>
    <n v="5.875"/>
    <n v="1"/>
    <n v="2"/>
    <n v="3.625"/>
    <n v="3"/>
    <n v="5.875"/>
    <m/>
    <n v="4.8"/>
  </r>
  <r>
    <x v="5"/>
    <s v="CMS Dev"/>
    <s v="Digestion data from Financial Advisor Database"/>
    <x v="2"/>
    <s v="Additional buffer for unknown complexity"/>
    <m/>
    <s v="In"/>
    <s v="Design and Implement  Workflow : Medium "/>
    <n v="3.625"/>
    <n v="5.875"/>
    <n v="1"/>
    <n v="3.625"/>
    <n v="3.625"/>
    <n v="5.875"/>
    <n v="5.875"/>
    <m/>
    <n v="4.8"/>
  </r>
  <r>
    <x v="5"/>
    <s v="CMS Dev"/>
    <s v="Ingestion of documents from Broadridge"/>
    <x v="2"/>
    <m/>
    <m/>
    <s v="In"/>
    <s v="Design and Implement  Workflow : Simple"/>
    <n v="1.75"/>
    <n v="3.25"/>
    <n v="1"/>
    <n v="2"/>
    <n v="1.75"/>
    <n v="3"/>
    <n v="3.25"/>
    <m/>
    <n v="2.5"/>
  </r>
  <r>
    <x v="5"/>
    <s v="CMS Dev"/>
    <s v="Salesforce - integration of user intreractions data back and forth"/>
    <x v="2"/>
    <s v="incoming for user data, for personalization, outgoing for user interaction history to Salesforce"/>
    <m/>
    <s v="In"/>
    <s v="Design and Implement  Workflow : Medium "/>
    <n v="3.625"/>
    <n v="5.875"/>
    <n v="1"/>
    <n v="2"/>
    <n v="3.625"/>
    <n v="3"/>
    <n v="5.875"/>
    <m/>
    <n v="4.8"/>
  </r>
  <r>
    <x v="5"/>
    <s v="CMS Dev"/>
    <s v="Salesforce - integration of CRM based leads data back and forth"/>
    <x v="2"/>
    <m/>
    <m/>
    <s v="Out"/>
    <s v="Design and Implement  Workflow : Medium "/>
    <n v="3.625"/>
    <n v="5.875"/>
    <n v="1"/>
    <n v="3.625"/>
    <s v=""/>
    <n v="5.875"/>
    <s v=""/>
    <m/>
    <s v=""/>
  </r>
  <r>
    <x v="5"/>
    <s v="CMS Dev"/>
    <s v="Integration with Document fullfillment system"/>
    <x v="2"/>
    <m/>
    <m/>
    <s v="In"/>
    <s v="Design and Implement  Workflow : Medium "/>
    <n v="3.625"/>
    <n v="5.875"/>
    <n v="1"/>
    <n v="9.875"/>
    <n v="3.625"/>
    <n v="19.25"/>
    <n v="5.875"/>
    <m/>
    <n v="4.8"/>
  </r>
  <r>
    <x v="5"/>
    <s v="CMS Dev"/>
    <s v="getting the user interaction history from site catalyst"/>
    <x v="2"/>
    <m/>
    <m/>
    <s v="In"/>
    <s v="Design and Implement  Workflow : Medium "/>
    <n v="3.625"/>
    <n v="5.875"/>
    <n v="1"/>
    <n v="4"/>
    <n v="3.625"/>
    <n v="6"/>
    <n v="5.875"/>
    <m/>
    <n v="4.8"/>
  </r>
  <r>
    <x v="5"/>
    <s v="CMS Dev"/>
    <s v="DAM workflow for Asset processing"/>
    <x v="2"/>
    <m/>
    <m/>
    <s v="In"/>
    <s v="Design and Implement  Workflow : Simple"/>
    <n v="1.75"/>
    <n v="3.25"/>
    <n v="1"/>
    <n v="3"/>
    <n v="1.75"/>
    <n v="5"/>
    <n v="3.25"/>
    <m/>
    <n v="2.5"/>
  </r>
  <r>
    <x v="5"/>
    <s v="CMS Dev"/>
    <s v="Jobs for sending across the mails\data based on business rules"/>
    <x v="2"/>
    <m/>
    <m/>
    <s v="In"/>
    <s v="Design and Implement  Workflow : Simple"/>
    <n v="1.75"/>
    <n v="3.25"/>
    <n v="1"/>
    <n v="4"/>
    <n v="1.75"/>
    <n v="7"/>
    <n v="3.25"/>
    <m/>
    <n v="2.5"/>
  </r>
  <r>
    <x v="5"/>
    <s v="CMS Dev"/>
    <s v="WORM Compliance"/>
    <x v="2"/>
    <m/>
    <m/>
    <s v="Out"/>
    <s v="Design and Implement  Workflow : Medium "/>
    <n v="3.625"/>
    <n v="5.875"/>
    <n v="3"/>
    <n v="3"/>
    <s v=""/>
    <n v="5"/>
    <s v=""/>
    <m/>
    <s v=""/>
  </r>
  <r>
    <x v="0"/>
    <s v="CMS Dev"/>
    <s v="Ad Review Process"/>
    <x v="2"/>
    <m/>
    <m/>
    <s v="In"/>
    <m/>
    <m/>
    <m/>
    <n v="1"/>
    <m/>
    <s v=""/>
    <m/>
    <s v=""/>
    <m/>
    <s v=""/>
  </r>
  <r>
    <x v="5"/>
    <s v="CMS Dev"/>
    <s v="Overall flow creation"/>
    <x v="2"/>
    <m/>
    <m/>
    <s v="In"/>
    <m/>
    <n v="3"/>
    <n v="5"/>
    <n v="1"/>
    <m/>
    <n v="3"/>
    <m/>
    <n v="5"/>
    <m/>
    <n v="4"/>
  </r>
  <r>
    <x v="5"/>
    <s v="CMS Dev"/>
    <s v="Additional Complexity with flows"/>
    <x v="2"/>
    <m/>
    <m/>
    <s v="In"/>
    <m/>
    <n v="4"/>
    <n v="8"/>
    <n v="1"/>
    <m/>
    <n v="4"/>
    <m/>
    <n v="8"/>
    <m/>
    <n v="6"/>
  </r>
  <r>
    <x v="5"/>
    <s v="CMS Dev"/>
    <s v="Creation of Users and permissions (expecting 3-5 groups to be created)"/>
    <x v="2"/>
    <m/>
    <m/>
    <s v="In"/>
    <m/>
    <n v="1"/>
    <n v="2"/>
    <n v="1"/>
    <m/>
    <n v="1"/>
    <m/>
    <n v="2"/>
    <m/>
    <n v="1.5"/>
  </r>
  <r>
    <x v="5"/>
    <s v="CMS Dev"/>
    <s v="Workflow steps creation (expecting 3-5 custom steps\scripts to be created)"/>
    <x v="2"/>
    <m/>
    <m/>
    <s v="In"/>
    <m/>
    <n v="5"/>
    <n v="9"/>
    <n v="1"/>
    <m/>
    <n v="5"/>
    <m/>
    <n v="9"/>
    <m/>
    <n v="7"/>
  </r>
  <r>
    <x v="5"/>
    <s v="CMS Dev"/>
    <s v="Workflow console (to be able to display status)-"/>
    <x v="2"/>
    <m/>
    <m/>
    <s v="In"/>
    <m/>
    <n v="7"/>
    <n v="9"/>
    <n v="1"/>
    <m/>
    <n v="7"/>
    <m/>
    <n v="9"/>
    <m/>
    <n v="8"/>
  </r>
  <r>
    <x v="5"/>
    <s v="CMS Dev"/>
    <s v="Export into excel"/>
    <x v="2"/>
    <m/>
    <m/>
    <s v="In"/>
    <m/>
    <n v="1"/>
    <n v="2"/>
    <n v="1"/>
    <m/>
    <n v="1"/>
    <m/>
    <n v="2"/>
    <m/>
    <n v="1.5"/>
  </r>
  <r>
    <x v="5"/>
    <s v="CMS Dev"/>
    <s v="Test Script creation and execution"/>
    <x v="2"/>
    <m/>
    <m/>
    <s v="In"/>
    <m/>
    <n v="5.9"/>
    <n v="9.4499999999999993"/>
    <n v="1"/>
    <m/>
    <n v="5.9"/>
    <m/>
    <n v="9.4499999999999993"/>
    <m/>
    <n v="7.7"/>
  </r>
  <r>
    <x v="5"/>
    <s v="CMS Dev"/>
    <s v="Templates"/>
    <x v="2"/>
    <m/>
    <m/>
    <s v="In"/>
    <m/>
    <m/>
    <m/>
    <n v="1"/>
    <m/>
    <s v=""/>
    <m/>
    <s v=""/>
    <m/>
    <s v=""/>
  </r>
  <r>
    <x v="5"/>
    <s v="CMS Dev"/>
    <s v="Dev - Base Template"/>
    <x v="1"/>
    <s v="Base Template"/>
    <m/>
    <s v="In"/>
    <s v="Template Implementation - Complex"/>
    <n v="2.625"/>
    <n v="3.5"/>
    <n v="1"/>
    <n v="2"/>
    <n v="2.625"/>
    <n v="2.5"/>
    <n v="3.5"/>
    <m/>
    <n v="3.1"/>
  </r>
  <r>
    <x v="5"/>
    <s v="CMS Dev"/>
    <s v="Dev - 1-col"/>
    <x v="1"/>
    <s v="1-col"/>
    <m/>
    <s v="In"/>
    <s v="Template Implementation - Low"/>
    <n v="1.125"/>
    <n v="1.75"/>
    <n v="1"/>
    <n v="1.125"/>
    <n v="1.125"/>
    <n v="1.75"/>
    <n v="1.75"/>
    <m/>
    <n v="1.4"/>
  </r>
  <r>
    <x v="5"/>
    <s v="CMS Dev"/>
    <s v="Dev - 2-col with navigation"/>
    <x v="2"/>
    <s v="2-col with navigation"/>
    <m/>
    <s v="In"/>
    <s v="Template Implementation - Low"/>
    <n v="1.125"/>
    <n v="1.75"/>
    <n v="1"/>
    <n v="1.125"/>
    <n v="1.125"/>
    <n v="1.75"/>
    <n v="1.75"/>
    <m/>
    <n v="1.4"/>
  </r>
  <r>
    <x v="5"/>
    <s v="CMS Dev"/>
    <s v="Dev - Article Page - 2-col with navigation"/>
    <x v="2"/>
    <s v="Article Page - 2-col with navigation"/>
    <m/>
    <s v="In"/>
    <s v="Template Implementation - Low"/>
    <n v="1.125"/>
    <n v="1.75"/>
    <n v="1"/>
    <n v="1.125"/>
    <n v="1.125"/>
    <n v="1.75"/>
    <n v="1.75"/>
    <m/>
    <n v="1.4"/>
  </r>
  <r>
    <x v="5"/>
    <s v="CMS Dev"/>
    <s v="Dev - Frame"/>
    <x v="2"/>
    <s v="Frame"/>
    <m/>
    <s v="In"/>
    <s v="Template Implementation - Medium"/>
    <n v="2.3125"/>
    <n v="3.3125"/>
    <n v="1"/>
    <n v="1.4375"/>
    <n v="2.3125"/>
    <n v="2.0625"/>
    <n v="3.3125"/>
    <m/>
    <n v="2.8"/>
  </r>
  <r>
    <x v="5"/>
    <s v="CMS Dev"/>
    <s v="Dev - Overlay Template"/>
    <x v="2"/>
    <s v="Overlay Template"/>
    <m/>
    <s v="In"/>
    <s v="Template Implementation - Medium"/>
    <n v="2.3125"/>
    <n v="3.3125"/>
    <n v="1"/>
    <n v="1.4375"/>
    <n v="2.3125"/>
    <n v="2.0625"/>
    <n v="3.3125"/>
    <m/>
    <n v="2.8"/>
  </r>
  <r>
    <x v="5"/>
    <s v="CMS Dev"/>
    <s v="Dev - Fund Details - Base"/>
    <x v="1"/>
    <s v="Fund Details - Base"/>
    <m/>
    <s v="In"/>
    <s v="Template Implementation - Medium"/>
    <n v="2.3125"/>
    <n v="3.3125"/>
    <n v="1"/>
    <n v="1.4375"/>
    <n v="2.3125"/>
    <n v="2.0625"/>
    <n v="3.3125"/>
    <m/>
    <n v="2.8"/>
  </r>
  <r>
    <x v="5"/>
    <s v="CMS Dev"/>
    <s v="Dev - Fund Details - Variations"/>
    <x v="2"/>
    <s v="Fund Details - Variations"/>
    <m/>
    <s v="In"/>
    <s v="Template Implementation - Medium"/>
    <n v="2.3125"/>
    <n v="3.3125"/>
    <n v="4"/>
    <n v="1.4375"/>
    <n v="9.25"/>
    <n v="2.0625"/>
    <n v="13.25"/>
    <m/>
    <n v="11.3"/>
  </r>
  <r>
    <x v="5"/>
    <s v="CMS Dev"/>
    <s v="Dev - Print"/>
    <x v="2"/>
    <s v="Print"/>
    <m/>
    <s v="In"/>
    <s v="Template Implementation - Medium"/>
    <n v="2.3125"/>
    <n v="3.3125"/>
    <n v="1"/>
    <n v="1.4375"/>
    <n v="2.3125"/>
    <n v="2.0625"/>
    <n v="3.3125"/>
    <m/>
    <n v="2.8"/>
  </r>
  <r>
    <x v="5"/>
    <s v="CMS Dev"/>
    <s v="Dev - LandingPage"/>
    <x v="2"/>
    <s v="LandingPage"/>
    <m/>
    <s v="In"/>
    <s v="Template Implementation - Low"/>
    <n v="1.125"/>
    <n v="1.75"/>
    <n v="1"/>
    <n v="1.125"/>
    <n v="1.125"/>
    <n v="1.75"/>
    <n v="1.75"/>
    <m/>
    <n v="1.4"/>
  </r>
  <r>
    <x v="5"/>
    <s v="CMS Dev"/>
    <s v="Dev - Insights Template"/>
    <x v="2"/>
    <s v="Insights Template"/>
    <m/>
    <s v="In"/>
    <s v="Template Implementation - Low"/>
    <n v="1.125"/>
    <n v="1.75"/>
    <n v="1"/>
    <n v="1.125"/>
    <n v="1.125"/>
    <n v="1.75"/>
    <n v="1.75"/>
    <m/>
    <n v="1.4"/>
  </r>
  <r>
    <x v="5"/>
    <s v="CMS Dev"/>
    <s v="Dev - History Template"/>
    <x v="2"/>
    <s v="History Template"/>
    <m/>
    <s v="In"/>
    <s v="Template Implementation - Low"/>
    <n v="1.125"/>
    <n v="1.75"/>
    <n v="1"/>
    <n v="1.125"/>
    <n v="1.125"/>
    <n v="1.75"/>
    <n v="1.75"/>
    <m/>
    <n v="1.4"/>
  </r>
  <r>
    <x v="5"/>
    <s v="CMS Dev"/>
    <s v="Dev - Carousal Template"/>
    <x v="2"/>
    <s v="Carousal Template"/>
    <m/>
    <s v="In"/>
    <s v="Template Implementation - Low"/>
    <n v="1.125"/>
    <n v="1.75"/>
    <n v="1"/>
    <n v="1.125"/>
    <n v="1.125"/>
    <n v="1.75"/>
    <n v="1.75"/>
    <m/>
    <n v="1.4"/>
  </r>
  <r>
    <x v="5"/>
    <s v="CMS Dev"/>
    <s v="Dev - UserProfile Template"/>
    <x v="1"/>
    <s v="UserProfile Template"/>
    <m/>
    <s v="In"/>
    <s v="Template Implementation - Low"/>
    <n v="1.125"/>
    <n v="1.75"/>
    <n v="1"/>
    <n v="1.125"/>
    <n v="1.125"/>
    <n v="1.75"/>
    <n v="1.75"/>
    <m/>
    <n v="1.4"/>
  </r>
  <r>
    <x v="5"/>
    <s v="CMS Dev"/>
    <s v="Components"/>
    <x v="2"/>
    <m/>
    <m/>
    <s v="In"/>
    <m/>
    <m/>
    <m/>
    <n v="1"/>
    <m/>
    <s v=""/>
    <m/>
    <s v=""/>
    <m/>
    <s v=""/>
  </r>
  <r>
    <x v="5"/>
    <s v="CMS Dev"/>
    <s v="Dev - Age-based Portfolios"/>
    <x v="2"/>
    <s v="Age-based Portfolios"/>
    <m/>
    <s v="In"/>
    <s v="Component Implementation - Medium"/>
    <n v="4"/>
    <n v="6.125"/>
    <n v="1"/>
    <n v="3.75"/>
    <n v="4"/>
    <n v="5.625"/>
    <n v="6.125"/>
    <m/>
    <n v="5.0999999999999996"/>
  </r>
  <r>
    <x v="5"/>
    <s v="CMS Dev"/>
    <s v="Dev - Average Annual Total Returns"/>
    <x v="1"/>
    <s v="Average Annual Total Returns"/>
    <m/>
    <s v="In"/>
    <s v="Component Implementation - Low"/>
    <n v="1.6875"/>
    <n v="2.875"/>
    <n v="1"/>
    <n v="1.5625"/>
    <n v="1.6875"/>
    <n v="2.625"/>
    <n v="2.875"/>
    <m/>
    <n v="2.2999999999999998"/>
  </r>
  <r>
    <x v="5"/>
    <s v="CMS Dev"/>
    <s v="Dev - Banner"/>
    <x v="2"/>
    <s v="Banner"/>
    <m/>
    <s v="In"/>
    <s v="Component Implementation - Low"/>
    <n v="1.6875"/>
    <n v="2.875"/>
    <n v="1"/>
    <n v="1.5625"/>
    <n v="1.6875"/>
    <n v="2.625"/>
    <n v="2.875"/>
    <m/>
    <n v="2.2999999999999998"/>
  </r>
  <r>
    <x v="5"/>
    <s v="CMS Dev"/>
    <s v="Dev - Calendar Year Returns"/>
    <x v="1"/>
    <s v="Calendar Year Returns"/>
    <m/>
    <s v="In"/>
    <s v="Component Implementation - Medium"/>
    <n v="4"/>
    <n v="6.125"/>
    <n v="1"/>
    <n v="3.25"/>
    <n v="4"/>
    <n v="4.875"/>
    <n v="6.125"/>
    <m/>
    <n v="5.0999999999999996"/>
  </r>
  <r>
    <x v="5"/>
    <s v="CMS Dev"/>
    <s v="Dev - Carousal"/>
    <x v="2"/>
    <s v="Carousal"/>
    <m/>
    <s v="In"/>
    <s v="Component Implementation - Medium"/>
    <n v="4"/>
    <n v="6.125"/>
    <n v="1"/>
    <n v="3.25"/>
    <n v="4"/>
    <n v="4.875"/>
    <n v="6.125"/>
    <m/>
    <n v="5.0999999999999996"/>
  </r>
  <r>
    <x v="5"/>
    <s v="CMS Dev"/>
    <s v="Dev - Cart confirmation"/>
    <x v="2"/>
    <s v="Cart confirmation"/>
    <m/>
    <s v="In"/>
    <s v="Component Implementation - Medium"/>
    <n v="4"/>
    <n v="6.125"/>
    <n v="1"/>
    <n v="3.25"/>
    <n v="4"/>
    <n v="4.875"/>
    <n v="6.125"/>
    <m/>
    <n v="5.0999999999999996"/>
  </r>
  <r>
    <x v="5"/>
    <s v="CMS Dev"/>
    <s v="Dev - Cart delivery"/>
    <x v="2"/>
    <s v="Cart delivery"/>
    <m/>
    <s v="In"/>
    <s v="Component Implementation - Complex"/>
    <n v="6.5"/>
    <n v="9.125"/>
    <n v="1"/>
    <n v="6"/>
    <n v="6.5"/>
    <n v="8.375"/>
    <n v="9.125"/>
    <m/>
    <n v="7.8"/>
  </r>
  <r>
    <x v="5"/>
    <s v="CMS Dev"/>
    <s v="Dev - Cart details"/>
    <x v="2"/>
    <s v="Cart details"/>
    <m/>
    <s v="In"/>
    <s v="Component Implementation - Medium"/>
    <n v="4"/>
    <n v="6.125"/>
    <n v="1"/>
    <n v="3.25"/>
    <n v="4"/>
    <n v="4.875"/>
    <n v="6.125"/>
    <m/>
    <n v="5.0999999999999996"/>
  </r>
  <r>
    <x v="5"/>
    <s v="CMS Dev"/>
    <s v="Dev - Col Control"/>
    <x v="1"/>
    <s v="Col Control"/>
    <m/>
    <s v="In"/>
    <s v="Component Implementation - Low"/>
    <n v="1.6875"/>
    <n v="2.875"/>
    <n v="1"/>
    <n v="1.5625"/>
    <n v="1.6875"/>
    <n v="2.625"/>
    <n v="2.875"/>
    <m/>
    <n v="2.2999999999999998"/>
  </r>
  <r>
    <x v="5"/>
    <s v="CMS Dev"/>
    <s v="Dev - Compare Panel"/>
    <x v="2"/>
    <s v="Compare Panel"/>
    <m/>
    <s v="In"/>
    <s v="Component Implementation - Medium"/>
    <n v="4"/>
    <n v="6.125"/>
    <n v="1"/>
    <n v="3.25"/>
    <n v="4"/>
    <n v="4.875"/>
    <n v="6.125"/>
    <m/>
    <n v="5.0999999999999996"/>
  </r>
  <r>
    <x v="5"/>
    <s v="CMS Dev"/>
    <s v="Dev - Compare Results"/>
    <x v="2"/>
    <s v="Compare Results"/>
    <m/>
    <s v="In"/>
    <s v="Component Implementation - Low"/>
    <n v="1.6875"/>
    <n v="2.875"/>
    <n v="1"/>
    <n v="1.5625"/>
    <n v="1.6875"/>
    <n v="2.625"/>
    <n v="2.875"/>
    <m/>
    <n v="2.2999999999999998"/>
  </r>
  <r>
    <x v="5"/>
    <s v="CMS Dev"/>
    <s v="Dev - Daily Prices"/>
    <x v="2"/>
    <s v="Daily Prices"/>
    <m/>
    <s v="In"/>
    <s v="Component Implementation - Medium"/>
    <n v="4"/>
    <n v="6.125"/>
    <n v="1"/>
    <n v="3.25"/>
    <n v="4"/>
    <n v="4.875"/>
    <n v="6.125"/>
    <m/>
    <n v="5.0999999999999996"/>
  </r>
  <r>
    <x v="5"/>
    <s v="CMS Dev"/>
    <s v="Dev - Footer"/>
    <x v="1"/>
    <s v="Footer"/>
    <m/>
    <s v="In"/>
    <s v="Component Implementation - Low"/>
    <n v="1.6875"/>
    <n v="2.875"/>
    <n v="1"/>
    <n v="1.5625"/>
    <n v="1.6875"/>
    <n v="2.625"/>
    <n v="2.875"/>
    <m/>
    <n v="2.2999999999999998"/>
  </r>
  <r>
    <x v="5"/>
    <s v="CMS Dev"/>
    <s v="Dev - Form"/>
    <x v="2"/>
    <s v="Form"/>
    <m/>
    <s v="In"/>
    <s v="Component Implementation - Medium"/>
    <n v="4"/>
    <n v="6.125"/>
    <n v="1"/>
    <n v="3.25"/>
    <n v="4"/>
    <n v="4.875"/>
    <n v="6.125"/>
    <m/>
    <n v="5.0999999999999996"/>
  </r>
  <r>
    <x v="5"/>
    <s v="CMS Dev"/>
    <s v="Dev - Fund Basics"/>
    <x v="2"/>
    <s v="Fund Basics"/>
    <m/>
    <s v="In"/>
    <s v="Component Implementation - Low"/>
    <n v="1.6875"/>
    <n v="2.875"/>
    <n v="1"/>
    <n v="1.5625"/>
    <n v="1.6875"/>
    <n v="2.625"/>
    <n v="2.875"/>
    <m/>
    <n v="2.2999999999999998"/>
  </r>
  <r>
    <x v="5"/>
    <s v="CMS Dev"/>
    <s v="Dev - Fund Information Pane"/>
    <x v="1"/>
    <s v="Fund Information Pane"/>
    <m/>
    <s v="In"/>
    <s v="Component Implementation - Low"/>
    <n v="1.6875"/>
    <n v="2.875"/>
    <n v="1"/>
    <n v="1.5625"/>
    <n v="1.6875"/>
    <n v="2.625"/>
    <n v="2.875"/>
    <m/>
    <n v="2.2999999999999998"/>
  </r>
  <r>
    <x v="5"/>
    <s v="CMS Dev"/>
    <s v="Dev - Fund List"/>
    <x v="2"/>
    <s v="Fund List"/>
    <m/>
    <s v="In"/>
    <s v="Component Implementation - Medium"/>
    <n v="4"/>
    <n v="6.125"/>
    <n v="1"/>
    <n v="3.25"/>
    <n v="4"/>
    <n v="4.875"/>
    <n v="6.125"/>
    <m/>
    <n v="5.0999999999999996"/>
  </r>
  <r>
    <x v="5"/>
    <s v="CMS Dev"/>
    <s v="Dev - Fund Navigation Pane"/>
    <x v="1"/>
    <s v="Fund Navigation Pane"/>
    <m/>
    <s v="In"/>
    <s v="Component Implementation - Medium"/>
    <n v="4"/>
    <n v="6.125"/>
    <n v="1"/>
    <n v="3.25"/>
    <n v="4"/>
    <n v="4.875"/>
    <n v="6.125"/>
    <m/>
    <n v="5.0999999999999996"/>
  </r>
  <r>
    <x v="5"/>
    <s v="CMS Dev"/>
    <s v="Dev - Funds List"/>
    <x v="2"/>
    <s v="Funds List"/>
    <m/>
    <s v="Out"/>
    <s v="Component Implementation - Low"/>
    <n v="1.6875"/>
    <n v="2.875"/>
    <n v="1"/>
    <n v="1.5625"/>
    <s v=""/>
    <n v="2.625"/>
    <s v=""/>
    <m/>
    <s v=""/>
  </r>
  <r>
    <x v="5"/>
    <s v="CMS Dev"/>
    <s v="Dev - Funds Module"/>
    <x v="2"/>
    <s v="Funds Module"/>
    <m/>
    <s v="In"/>
    <s v="Component Implementation - Medium"/>
    <n v="4"/>
    <n v="6.125"/>
    <n v="1"/>
    <n v="3.25"/>
    <n v="4"/>
    <n v="4.875"/>
    <n v="6.125"/>
    <m/>
    <n v="5.0999999999999996"/>
  </r>
  <r>
    <x v="5"/>
    <s v="CMS Dev"/>
    <s v="Dev - Funds Navigation Tabs"/>
    <x v="1"/>
    <s v="Funds Navigation Tabs"/>
    <m/>
    <s v="In"/>
    <s v="Component Implementation - Low"/>
    <n v="1.6875"/>
    <n v="2.875"/>
    <n v="1"/>
    <n v="1.5625"/>
    <n v="1.6875"/>
    <n v="2.625"/>
    <n v="2.875"/>
    <m/>
    <n v="2.2999999999999998"/>
  </r>
  <r>
    <x v="5"/>
    <s v="CMS Dev"/>
    <s v="Dev - Growth of $10,000"/>
    <x v="1"/>
    <s v="Growth of $10,000"/>
    <m/>
    <s v="In"/>
    <s v="Component Implementation - Complex"/>
    <n v="6.5"/>
    <n v="9.125"/>
    <n v="1"/>
    <n v="6"/>
    <n v="6.5"/>
    <n v="8.375"/>
    <n v="9.125"/>
    <m/>
    <n v="7.8"/>
  </r>
  <r>
    <x v="5"/>
    <s v="CMS Dev"/>
    <s v="Dev - Highlights"/>
    <x v="2"/>
    <s v="Highlights"/>
    <m/>
    <s v="In"/>
    <s v="Component Implementation - Low"/>
    <n v="1.6875"/>
    <n v="2.875"/>
    <n v="2"/>
    <n v="1.5625"/>
    <n v="3.375"/>
    <n v="2.625"/>
    <n v="5.75"/>
    <m/>
    <n v="4.5999999999999996"/>
  </r>
  <r>
    <x v="5"/>
    <s v="CMS Dev"/>
    <s v="Dev - Holdings Characteristics"/>
    <x v="1"/>
    <s v="Holdings Characteristics"/>
    <m/>
    <s v="In"/>
    <s v="Component Implementation - Medium"/>
    <n v="4"/>
    <n v="6.125"/>
    <n v="1"/>
    <n v="3.25"/>
    <n v="4"/>
    <n v="4.875"/>
    <n v="6.125"/>
    <m/>
    <n v="5.0999999999999996"/>
  </r>
  <r>
    <x v="5"/>
    <s v="CMS Dev"/>
    <s v="Dev - Individual Fund Options"/>
    <x v="2"/>
    <s v="Individual Fund Options"/>
    <m/>
    <s v="In"/>
    <s v="Component Implementation - Low"/>
    <n v="1.6875"/>
    <n v="2.875"/>
    <n v="1"/>
    <n v="1.5625"/>
    <n v="1.6875"/>
    <n v="2.625"/>
    <n v="2.875"/>
    <m/>
    <n v="2.2999999999999998"/>
  </r>
  <r>
    <x v="5"/>
    <s v="CMS Dev"/>
    <s v="Dev - Insights "/>
    <x v="2"/>
    <s v="Insights "/>
    <m/>
    <s v="In"/>
    <s v="Component Implementation - Low"/>
    <n v="1.6875"/>
    <n v="2.875"/>
    <n v="1"/>
    <n v="1.5625"/>
    <n v="1.6875"/>
    <n v="2.625"/>
    <n v="2.875"/>
    <m/>
    <n v="2.2999999999999998"/>
  </r>
  <r>
    <x v="5"/>
    <s v="CMS Dev"/>
    <s v="Dev - Insights &amp; Research"/>
    <x v="1"/>
    <s v="Insights &amp; Research"/>
    <m/>
    <s v="In"/>
    <s v="Component Implementation - Medium"/>
    <n v="4"/>
    <n v="6.125"/>
    <n v="1"/>
    <n v="3.25"/>
    <n v="4"/>
    <n v="4.875"/>
    <n v="6.125"/>
    <m/>
    <n v="5.0999999999999996"/>
  </r>
  <r>
    <x v="5"/>
    <s v="CMS Dev"/>
    <s v="Dev - Literature List"/>
    <x v="1"/>
    <s v="Literature List"/>
    <m/>
    <s v="In"/>
    <s v="Component Implementation - Medium"/>
    <n v="4"/>
    <n v="6.125"/>
    <n v="1"/>
    <n v="3.25"/>
    <n v="4"/>
    <n v="4.875"/>
    <n v="6.125"/>
    <m/>
    <n v="5.0999999999999996"/>
  </r>
  <r>
    <x v="5"/>
    <s v="CMS Dev"/>
    <s v="Dev - Logo"/>
    <x v="2"/>
    <s v="Logo"/>
    <m/>
    <s v="In"/>
    <s v="Component Implementation - Low"/>
    <n v="1.6875"/>
    <n v="2.875"/>
    <n v="1"/>
    <n v="1.5625"/>
    <n v="1.6875"/>
    <n v="2.625"/>
    <n v="2.875"/>
    <m/>
    <n v="2.2999999999999998"/>
  </r>
  <r>
    <x v="5"/>
    <s v="CMS Dev"/>
    <s v="Dev - Market Cap Distribution"/>
    <x v="1"/>
    <s v="Market Cap Distribution"/>
    <m/>
    <s v="In"/>
    <s v="Component Implementation - Medium"/>
    <n v="4"/>
    <n v="6.125"/>
    <n v="1"/>
    <n v="3.25"/>
    <n v="4"/>
    <n v="4.875"/>
    <n v="6.125"/>
    <m/>
    <n v="5.0999999999999996"/>
  </r>
  <r>
    <x v="5"/>
    <s v="CMS Dev"/>
    <s v="Dev - Performance"/>
    <x v="2"/>
    <s v="Performance"/>
    <m/>
    <s v="In"/>
    <s v="Component Implementation - Medium"/>
    <n v="4"/>
    <n v="6.125"/>
    <n v="1"/>
    <n v="3.25"/>
    <n v="4"/>
    <n v="4.875"/>
    <n v="6.125"/>
    <m/>
    <n v="5.0999999999999996"/>
  </r>
  <r>
    <x v="5"/>
    <s v="CMS Dev"/>
    <s v="Dev - Phone"/>
    <x v="2"/>
    <s v="Phone"/>
    <m/>
    <s v="In"/>
    <s v="Component Implementation - Low"/>
    <n v="1.6875"/>
    <n v="2.875"/>
    <n v="1"/>
    <n v="1.5625"/>
    <n v="1.6875"/>
    <n v="2.625"/>
    <n v="2.875"/>
    <m/>
    <n v="2.2999999999999998"/>
  </r>
  <r>
    <x v="5"/>
    <s v="CMS Dev"/>
    <s v="Dev - PlanOverview"/>
    <x v="2"/>
    <s v="PlanOverview"/>
    <m/>
    <s v="In"/>
    <s v="Component Implementation - Low"/>
    <n v="1.6875"/>
    <n v="2.875"/>
    <n v="1"/>
    <n v="1.5625"/>
    <n v="1.6875"/>
    <n v="2.625"/>
    <n v="2.875"/>
    <m/>
    <n v="2.2999999999999998"/>
  </r>
  <r>
    <x v="5"/>
    <s v="CMS Dev"/>
    <s v="Dev - Portfolio Management"/>
    <x v="1"/>
    <s v="Portfolio Management"/>
    <m/>
    <s v="In"/>
    <s v="Component Implementation - Medium"/>
    <n v="4"/>
    <n v="6.125"/>
    <n v="1"/>
    <n v="3.25"/>
    <n v="4"/>
    <n v="4.875"/>
    <n v="6.125"/>
    <m/>
    <n v="5.0999999999999996"/>
  </r>
  <r>
    <x v="5"/>
    <s v="CMS Dev"/>
    <s v="Dev - Press &amp; News"/>
    <x v="2"/>
    <s v="Press &amp; News"/>
    <m/>
    <s v="In"/>
    <s v="Component Implementation - Low"/>
    <n v="1.6875"/>
    <n v="2.875"/>
    <n v="1"/>
    <n v="1.5625"/>
    <n v="1.6875"/>
    <n v="2.625"/>
    <n v="2.875"/>
    <m/>
    <n v="2.2999999999999998"/>
  </r>
  <r>
    <x v="5"/>
    <s v="CMS Dev"/>
    <s v="Dev - Print and Share"/>
    <x v="2"/>
    <s v="Print and Share"/>
    <m/>
    <s v="In"/>
    <s v="Component Implementation - Low"/>
    <n v="1.6875"/>
    <n v="2.875"/>
    <n v="1"/>
    <n v="1.5625"/>
    <n v="1.6875"/>
    <n v="2.625"/>
    <n v="2.875"/>
    <m/>
    <n v="2.2999999999999998"/>
  </r>
  <r>
    <x v="5"/>
    <s v="CMS Dev"/>
    <s v="Dev - Sales Tools"/>
    <x v="1"/>
    <s v="Sales Tools"/>
    <m/>
    <s v="Out"/>
    <s v="Component Implementation - Medium"/>
    <n v="4"/>
    <n v="6.125"/>
    <n v="1"/>
    <n v="3.25"/>
    <s v=""/>
    <n v="4.875"/>
    <s v=""/>
    <m/>
    <s v=""/>
  </r>
  <r>
    <x v="5"/>
    <s v="CMS Dev"/>
    <s v="Dev - Search"/>
    <x v="2"/>
    <s v="Search"/>
    <m/>
    <s v="In"/>
    <s v="Component Implementation - Medium"/>
    <n v="4"/>
    <n v="6.125"/>
    <n v="1"/>
    <n v="3.25"/>
    <n v="4"/>
    <n v="4.875"/>
    <n v="6.125"/>
    <m/>
    <n v="5.0999999999999996"/>
  </r>
  <r>
    <x v="5"/>
    <s v="CMS Dev"/>
    <s v="Dev - Search Filters"/>
    <x v="2"/>
    <s v="Search Filters"/>
    <m/>
    <s v="In"/>
    <s v="Component Implementation - Low"/>
    <n v="1.6875"/>
    <n v="2.875"/>
    <n v="1"/>
    <n v="1.5625"/>
    <n v="1.6875"/>
    <n v="2.625"/>
    <n v="2.875"/>
    <m/>
    <n v="2.2999999999999998"/>
  </r>
  <r>
    <x v="5"/>
    <s v="CMS Dev"/>
    <s v="Dev - Search Results"/>
    <x v="2"/>
    <s v="Search Results"/>
    <m/>
    <s v="In"/>
    <s v="Component Implementation - Complex"/>
    <n v="6.5"/>
    <n v="9.125"/>
    <n v="1"/>
    <n v="6"/>
    <n v="6.5"/>
    <n v="8.375"/>
    <n v="9.125"/>
    <m/>
    <n v="7.8"/>
  </r>
  <r>
    <x v="5"/>
    <s v="CMS Dev"/>
    <s v="Dev - Sector Exposure"/>
    <x v="1"/>
    <s v="Sector Exposure"/>
    <m/>
    <s v="In"/>
    <s v="Component Implementation - Medium"/>
    <n v="4"/>
    <n v="6.125"/>
    <n v="1"/>
    <n v="3.25"/>
    <n v="4"/>
    <n v="4.875"/>
    <n v="6.125"/>
    <m/>
    <n v="5.0999999999999996"/>
  </r>
  <r>
    <x v="5"/>
    <s v="CMS Dev"/>
    <s v="Dev - Segmentation"/>
    <x v="2"/>
    <s v="Segmentation"/>
    <m/>
    <s v="In"/>
    <s v="Component Implementation - Medium"/>
    <n v="4"/>
    <n v="6.125"/>
    <n v="1"/>
    <n v="3.25"/>
    <n v="4"/>
    <n v="4.875"/>
    <n v="6.125"/>
    <m/>
    <n v="5.0999999999999996"/>
  </r>
  <r>
    <x v="5"/>
    <s v="CMS Dev"/>
    <s v="Dev - Selection Box"/>
    <x v="2"/>
    <s v="Selection Box"/>
    <m/>
    <s v="In"/>
    <s v="Component Implementation - Low"/>
    <n v="1.6875"/>
    <n v="2.875"/>
    <n v="1"/>
    <n v="1.5625"/>
    <n v="1.6875"/>
    <n v="2.625"/>
    <n v="2.875"/>
    <m/>
    <n v="2.2999999999999998"/>
  </r>
  <r>
    <x v="5"/>
    <s v="CMS Dev"/>
    <s v="Dev - Seminar"/>
    <x v="2"/>
    <s v="Seminar"/>
    <m/>
    <s v="In"/>
    <s v="Component Implementation - Medium"/>
    <n v="4"/>
    <n v="6.125"/>
    <n v="1"/>
    <n v="3.25"/>
    <n v="4"/>
    <n v="4.875"/>
    <n v="6.125"/>
    <m/>
    <n v="5.0999999999999996"/>
  </r>
  <r>
    <x v="5"/>
    <s v="CMS Dev"/>
    <s v="Dev - Spotlight"/>
    <x v="2"/>
    <s v="Spotlight"/>
    <m/>
    <s v="In"/>
    <s v="Component Implementation - Low"/>
    <n v="1.6875"/>
    <n v="2.875"/>
    <n v="1"/>
    <n v="1.5625"/>
    <n v="1.6875"/>
    <n v="2.625"/>
    <n v="2.875"/>
    <m/>
    <n v="2.2999999999999998"/>
  </r>
  <r>
    <x v="5"/>
    <s v="CMS Dev"/>
    <s v="Dev - Static Portfolios"/>
    <x v="2"/>
    <s v="Static Portfolios"/>
    <m/>
    <s v="In"/>
    <s v="Component Implementation - Low"/>
    <n v="1.6875"/>
    <n v="2.875"/>
    <n v="1"/>
    <n v="1.5625"/>
    <n v="1.6875"/>
    <n v="2.625"/>
    <n v="2.875"/>
    <m/>
    <n v="2.2999999999999998"/>
  </r>
  <r>
    <x v="5"/>
    <s v="CMS Dev"/>
    <s v="Dev - Strategic Spotlight"/>
    <x v="2"/>
    <s v="Strategic Spotlight"/>
    <m/>
    <s v="In"/>
    <s v="Component Implementation - Low"/>
    <n v="1.6875"/>
    <n v="2.875"/>
    <n v="1"/>
    <n v="1.5625"/>
    <n v="1.6875"/>
    <n v="2.625"/>
    <n v="2.875"/>
    <m/>
    <n v="2.2999999999999998"/>
  </r>
  <r>
    <x v="5"/>
    <s v="CMS Dev"/>
    <s v="Dev - TabComponent"/>
    <x v="2"/>
    <s v="TabComponent"/>
    <m/>
    <s v="In"/>
    <s v="Component Implementation - Low"/>
    <n v="1.6875"/>
    <n v="2.875"/>
    <n v="1"/>
    <n v="1.5625"/>
    <n v="1.6875"/>
    <n v="2.625"/>
    <n v="2.875"/>
    <m/>
    <n v="2.2999999999999998"/>
  </r>
  <r>
    <x v="5"/>
    <s v="CMS Dev"/>
    <s v="Dev - Text"/>
    <x v="1"/>
    <s v="Text"/>
    <m/>
    <s v="In"/>
    <s v="Component Implementation - Low"/>
    <n v="1.6875"/>
    <n v="2.875"/>
    <n v="1"/>
    <n v="1.5625"/>
    <n v="1.6875"/>
    <n v="2.625"/>
    <n v="2.875"/>
    <m/>
    <n v="2.2999999999999998"/>
  </r>
  <r>
    <x v="5"/>
    <s v="CMS Dev"/>
    <s v="Dev - Text and links"/>
    <x v="1"/>
    <s v="Text and links"/>
    <m/>
    <s v="Out"/>
    <s v="Component Implementation - Low"/>
    <n v="1.6875"/>
    <n v="2.875"/>
    <n v="1"/>
    <n v="1.5625"/>
    <s v=""/>
    <n v="2.625"/>
    <s v=""/>
    <m/>
    <s v=""/>
  </r>
  <r>
    <x v="5"/>
    <s v="CMS Dev"/>
    <s v="Dev - Tiles"/>
    <x v="2"/>
    <s v="Tiles"/>
    <m/>
    <s v="In"/>
    <s v="Component Implementation - Low"/>
    <n v="1.6875"/>
    <n v="2.875"/>
    <n v="1"/>
    <n v="1.5625"/>
    <n v="1.6875"/>
    <n v="2.625"/>
    <n v="2.875"/>
    <m/>
    <n v="2.2999999999999998"/>
  </r>
  <r>
    <x v="5"/>
    <s v="CMS Dev"/>
    <s v="Dev - Timeline"/>
    <x v="2"/>
    <s v="Timeline"/>
    <m/>
    <s v="In"/>
    <s v="Component Implementation - Low"/>
    <n v="1.6875"/>
    <n v="2.875"/>
    <n v="1"/>
    <n v="1.5625"/>
    <n v="1.6875"/>
    <n v="2.625"/>
    <n v="2.875"/>
    <m/>
    <n v="2.2999999999999998"/>
  </r>
  <r>
    <x v="5"/>
    <s v="CMS Dev"/>
    <s v="Dev - Title and Text"/>
    <x v="1"/>
    <s v="Title and Text"/>
    <m/>
    <s v="In"/>
    <s v="Component Implementation - Low"/>
    <n v="1.6875"/>
    <n v="2.875"/>
    <n v="1"/>
    <n v="1.5625"/>
    <n v="1.6875"/>
    <n v="2.625"/>
    <n v="2.875"/>
    <m/>
    <n v="2.2999999999999998"/>
  </r>
  <r>
    <x v="5"/>
    <s v="CMS Dev"/>
    <s v="Dev - title and text + Links"/>
    <x v="1"/>
    <s v="title and text + Links"/>
    <m/>
    <s v="Out"/>
    <s v="Component Implementation - Low"/>
    <n v="1.6875"/>
    <n v="2.875"/>
    <n v="1"/>
    <n v="1.5625"/>
    <s v=""/>
    <n v="2.625"/>
    <s v=""/>
    <m/>
    <s v=""/>
  </r>
  <r>
    <x v="5"/>
    <s v="CMS Dev"/>
    <s v="Dev - Title with Jump Section"/>
    <x v="1"/>
    <s v="Title with Jump Section"/>
    <m/>
    <s v="In"/>
    <s v="Component Implementation - Low"/>
    <n v="1.6875"/>
    <n v="2.875"/>
    <n v="1"/>
    <n v="1.5625"/>
    <n v="1.6875"/>
    <n v="2.625"/>
    <n v="2.875"/>
    <m/>
    <n v="2.2999999999999998"/>
  </r>
  <r>
    <x v="5"/>
    <s v="CMS Dev"/>
    <s v="Dev - Top Navigation"/>
    <x v="2"/>
    <s v="Top Navigation"/>
    <m/>
    <s v="In"/>
    <s v="Component Implementation - Medium"/>
    <n v="4"/>
    <n v="6.125"/>
    <n v="1"/>
    <n v="3.25"/>
    <n v="4"/>
    <n v="4.875"/>
    <n v="6.125"/>
    <m/>
    <n v="5.0999999999999996"/>
  </r>
  <r>
    <x v="5"/>
    <s v="CMS Dev"/>
    <s v="Dev - Top Ten Holdings"/>
    <x v="2"/>
    <s v="Top Ten Holdings"/>
    <m/>
    <s v="In"/>
    <s v="Component Implementation - Medium"/>
    <n v="4"/>
    <n v="6.125"/>
    <n v="1"/>
    <n v="3.25"/>
    <n v="4"/>
    <n v="4.875"/>
    <n v="6.125"/>
    <m/>
    <n v="5.0999999999999996"/>
  </r>
  <r>
    <x v="5"/>
    <s v="CMS Dev"/>
    <s v="Dev - UserProfile"/>
    <x v="2"/>
    <s v="UserProfile"/>
    <m/>
    <s v="In"/>
    <s v="Component Implementation - Low"/>
    <n v="1.6875"/>
    <n v="2.875"/>
    <n v="1"/>
    <n v="1.5625"/>
    <n v="1.6875"/>
    <n v="2.625"/>
    <n v="2.875"/>
    <m/>
    <n v="2.2999999999999998"/>
  </r>
  <r>
    <x v="5"/>
    <s v="CMS Dev"/>
    <s v="Dev - Utility Footer"/>
    <x v="1"/>
    <s v="Utility Footer"/>
    <m/>
    <s v="In"/>
    <s v="Component Implementation - Low"/>
    <n v="1.6875"/>
    <n v="2.875"/>
    <n v="1"/>
    <n v="1.5625"/>
    <n v="1.6875"/>
    <n v="2.625"/>
    <n v="2.875"/>
    <m/>
    <n v="2.2999999999999998"/>
  </r>
  <r>
    <x v="5"/>
    <s v="CMS Dev"/>
    <s v="Dev - Utility Navigation"/>
    <x v="1"/>
    <s v="Utility Navigation"/>
    <m/>
    <s v="In"/>
    <s v="Component Implementation - Low"/>
    <n v="1.6875"/>
    <n v="2.875"/>
    <n v="1"/>
    <n v="1.5625"/>
    <n v="1.6875"/>
    <n v="2.625"/>
    <n v="2.875"/>
    <m/>
    <n v="2.2999999999999998"/>
  </r>
  <r>
    <x v="5"/>
    <s v="CMS Dev"/>
    <s v="Dev - Login"/>
    <x v="2"/>
    <s v="Login"/>
    <m/>
    <s v="In"/>
    <s v="Component Implementation - Medium"/>
    <n v="4"/>
    <n v="6.125"/>
    <n v="1"/>
    <n v="3.25"/>
    <n v="4"/>
    <n v="4.875"/>
    <n v="6.125"/>
    <m/>
    <n v="5.0999999999999996"/>
  </r>
  <r>
    <x v="5"/>
    <s v="CMS Dev"/>
    <s v="Dev - Register"/>
    <x v="2"/>
    <s v="Register"/>
    <s v="1.4.8"/>
    <s v="In"/>
    <s v="Component Implementation - Medium"/>
    <n v="4"/>
    <n v="6.125"/>
    <n v="1"/>
    <n v="3.25"/>
    <n v="4"/>
    <n v="4.875"/>
    <n v="6.125"/>
    <m/>
    <n v="5.0999999999999996"/>
  </r>
  <r>
    <x v="5"/>
    <s v="CMS Dev"/>
    <s v="Dev - Register Comfirmation"/>
    <x v="2"/>
    <s v="Register Comfirmation"/>
    <m/>
    <s v="In"/>
    <s v="Component Implementation - Low"/>
    <n v="1.6875"/>
    <n v="2.875"/>
    <n v="1"/>
    <n v="1.5625"/>
    <n v="1.6875"/>
    <n v="2.625"/>
    <n v="2.875"/>
    <m/>
    <n v="2.2999999999999998"/>
  </r>
  <r>
    <x v="5"/>
    <s v="CMS Dev"/>
    <s v="Dev - Glossary"/>
    <x v="2"/>
    <s v="Glossary"/>
    <m/>
    <s v="In"/>
    <s v="Component Implementation - Complex"/>
    <n v="6.5"/>
    <n v="9.125"/>
    <n v="1"/>
    <n v="6"/>
    <n v="6.5"/>
    <n v="8.375"/>
    <n v="9.125"/>
    <m/>
    <n v="7.8"/>
  </r>
  <r>
    <x v="5"/>
    <s v="CMS Dev"/>
    <s v="Dev - Press releases"/>
    <x v="2"/>
    <s v="Press releases"/>
    <s v="1.1.11.1"/>
    <s v="In"/>
    <s v="Component Implementation - Complex"/>
    <n v="6.5"/>
    <n v="9.125"/>
    <n v="1"/>
    <n v="6.5"/>
    <n v="6.5"/>
    <n v="9.125"/>
    <n v="9.125"/>
    <m/>
    <n v="7.8"/>
  </r>
  <r>
    <x v="5"/>
    <s v="CMS Dev"/>
    <s v="Dev - FAQs"/>
    <x v="2"/>
    <s v="FAQs"/>
    <s v="1.1.11.2"/>
    <s v="In"/>
    <s v="Component Implementation - Medium"/>
    <n v="4"/>
    <n v="6.125"/>
    <n v="1"/>
    <n v="4"/>
    <n v="4"/>
    <n v="6.125"/>
    <n v="6.125"/>
    <m/>
    <n v="5.0999999999999996"/>
  </r>
  <r>
    <x v="5"/>
    <s v="CMS Dev"/>
    <s v="Dev - Careers"/>
    <x v="2"/>
    <s v="Careers"/>
    <s v="1.1.11.4"/>
    <s v="In"/>
    <s v="Component Implementation - Low"/>
    <n v="1.6875"/>
    <n v="2.875"/>
    <n v="1"/>
    <n v="1.6875"/>
    <n v="1.6875"/>
    <n v="2.875"/>
    <n v="2.875"/>
    <m/>
    <n v="2.2999999999999998"/>
  </r>
  <r>
    <x v="5"/>
    <s v="CMS Dev"/>
    <s v="Dev - Newsletter"/>
    <x v="2"/>
    <s v="Newsletter"/>
    <s v="1.5.4"/>
    <s v="In"/>
    <s v="Component Implementation - Medium"/>
    <n v="4"/>
    <n v="6.125"/>
    <n v="1"/>
    <n v="4"/>
    <n v="4"/>
    <n v="6.125"/>
    <n v="6.125"/>
    <m/>
    <n v="5.0999999999999996"/>
  </r>
  <r>
    <x v="5"/>
    <s v="CMS Dev"/>
    <s v="Dev - Sales Tools &amp; Illustrations"/>
    <x v="2"/>
    <s v="Sales Tools &amp; Illustrations"/>
    <s v="1.5.2"/>
    <s v="Out"/>
    <s v="Component Implementation - Medium"/>
    <n v="4"/>
    <n v="6.125"/>
    <n v="1"/>
    <n v="4"/>
    <s v=""/>
    <n v="6.125"/>
    <s v=""/>
    <m/>
    <s v=""/>
  </r>
  <r>
    <x v="5"/>
    <s v="CMS Dev"/>
    <s v="Additional Templates"/>
    <x v="2"/>
    <s v="Considering 5 additional templates"/>
    <m/>
    <s v="In"/>
    <s v="Template Implementation - Medium"/>
    <n v="2.3125"/>
    <n v="3.3125"/>
    <n v="5"/>
    <n v="1.4375"/>
    <n v="11.5625"/>
    <n v="2.0625"/>
    <n v="16.5625"/>
    <m/>
    <n v="14.1"/>
  </r>
  <r>
    <x v="5"/>
    <s v="CMS Dev"/>
    <s v="Additional Components"/>
    <x v="2"/>
    <s v="considering 8 additional componentswithoutpersonalization"/>
    <m/>
    <s v="In"/>
    <s v="Component Implementation - Low"/>
    <n v="1.6875"/>
    <n v="2.875"/>
    <n v="7"/>
    <n v="1.5625"/>
    <n v="11.8125"/>
    <n v="2.625"/>
    <n v="20.125"/>
    <m/>
    <n v="16"/>
  </r>
  <r>
    <x v="5"/>
    <s v="CMS Dev"/>
    <s v="Additional Components"/>
    <x v="2"/>
    <s v="considering 15 additional with personalization"/>
    <m/>
    <s v="In"/>
    <s v="Component Implementation - Medium"/>
    <n v="4"/>
    <n v="6.125"/>
    <n v="8"/>
    <n v="3.25"/>
    <n v="32"/>
    <n v="4.875"/>
    <n v="49"/>
    <m/>
    <n v="40.5"/>
  </r>
  <r>
    <x v="5"/>
    <s v="CMS Dev"/>
    <s v="Subscribe for Updates Page"/>
    <x v="2"/>
    <m/>
    <s v="1.6.5"/>
    <s v="In"/>
    <m/>
    <n v="3"/>
    <n v="5"/>
    <n v="1"/>
    <m/>
    <n v="3"/>
    <m/>
    <n v="5"/>
    <m/>
    <n v="4"/>
  </r>
  <r>
    <x v="5"/>
    <s v="CMS Dev"/>
    <s v="View Approved Seminars"/>
    <x v="2"/>
    <m/>
    <s v="1.7.2"/>
    <s v="In"/>
    <m/>
    <n v="3"/>
    <n v="5"/>
    <n v="1"/>
    <m/>
    <n v="3"/>
    <m/>
    <n v="5"/>
    <m/>
    <n v="4"/>
  </r>
  <r>
    <x v="5"/>
    <s v="CMS Dev"/>
    <s v="Order Seminar Materials"/>
    <x v="2"/>
    <m/>
    <s v="1.7.3"/>
    <s v="In"/>
    <m/>
    <n v="5"/>
    <n v="8"/>
    <n v="1"/>
    <m/>
    <n v="5"/>
    <m/>
    <n v="8"/>
    <m/>
    <n v="6.5"/>
  </r>
  <r>
    <x v="5"/>
    <s v="CMS Dev"/>
    <s v="Manage profile"/>
    <x v="2"/>
    <m/>
    <m/>
    <s v="In"/>
    <s v="Component Implementation - Medium"/>
    <n v="4"/>
    <n v="6.125"/>
    <n v="1"/>
    <n v="3.25"/>
    <n v="4"/>
    <n v="4.875"/>
    <n v="6.125"/>
    <m/>
    <n v="5.0999999999999996"/>
  </r>
  <r>
    <x v="5"/>
    <s v="CMS Dev"/>
    <s v="Manage subscriptions - Mail"/>
    <x v="2"/>
    <m/>
    <s v="1.6.7"/>
    <s v="In"/>
    <s v="Component Implementation - Low"/>
    <n v="1.6875"/>
    <n v="2.875"/>
    <n v="1"/>
    <n v="1.5625"/>
    <n v="1.6875"/>
    <n v="2.625"/>
    <n v="2.875"/>
    <m/>
    <n v="2.2999999999999998"/>
  </r>
  <r>
    <x v="5"/>
    <s v="CMS Dev"/>
    <s v="Manage subscriptions - Postal"/>
    <x v="2"/>
    <m/>
    <s v="1.6.7"/>
    <s v="In"/>
    <s v="Component Implementation - Low"/>
    <n v="1.6875"/>
    <n v="2.875"/>
    <n v="1"/>
    <n v="1.5625"/>
    <n v="1.6875"/>
    <n v="2.625"/>
    <n v="2.875"/>
    <m/>
    <n v="2.2999999999999998"/>
  </r>
  <r>
    <x v="5"/>
    <s v="CMS Dev"/>
    <s v="Email communications"/>
    <x v="2"/>
    <m/>
    <m/>
    <s v="In"/>
    <s v="Component Implementation - Low"/>
    <n v="1.6875"/>
    <n v="2.875"/>
    <n v="1"/>
    <n v="1.5625"/>
    <n v="1.6875"/>
    <n v="2.625"/>
    <n v="2.875"/>
    <m/>
    <n v="2.2999999999999998"/>
  </r>
  <r>
    <x v="5"/>
    <s v="CMS Dev"/>
    <s v="Order History"/>
    <x v="2"/>
    <m/>
    <s v="1.6.6"/>
    <s v="In"/>
    <s v="Component Implementation - Medium"/>
    <n v="4"/>
    <n v="6.125"/>
    <n v="1"/>
    <n v="3.25"/>
    <n v="4"/>
    <n v="4.875"/>
    <n v="6.125"/>
    <m/>
    <n v="5.0999999999999996"/>
  </r>
  <r>
    <x v="5"/>
    <s v="CMS Dev"/>
    <s v="Design variations of Fund details page"/>
    <x v="2"/>
    <m/>
    <m/>
    <s v="In"/>
    <s v="Component Implementation - Complex"/>
    <n v="6.5"/>
    <n v="9.125"/>
    <n v="1"/>
    <n v="6"/>
    <n v="6.5"/>
    <n v="8.375"/>
    <n v="9.125"/>
    <m/>
    <n v="7.8"/>
  </r>
  <r>
    <x v="5"/>
    <s v="CMS Dev"/>
    <s v="Sitemap"/>
    <x v="2"/>
    <m/>
    <m/>
    <s v="In"/>
    <s v="Component Implementation - Low"/>
    <n v="1.6875"/>
    <n v="2.875"/>
    <n v="1"/>
    <n v="1.5625"/>
    <n v="1.6875"/>
    <n v="2.625"/>
    <n v="2.875"/>
    <m/>
    <n v="2.2999999999999998"/>
  </r>
  <r>
    <x v="5"/>
    <s v="CMS Dev"/>
    <s v="Mobilization"/>
    <x v="2"/>
    <m/>
    <m/>
    <s v="In"/>
    <m/>
    <m/>
    <m/>
    <n v="1"/>
    <m/>
    <s v=""/>
    <m/>
    <s v=""/>
    <m/>
    <s v=""/>
  </r>
  <r>
    <x v="5"/>
    <s v="CMS Dev"/>
    <s v="Implement WURFL data structure"/>
    <x v="2"/>
    <s v="The mobilization of the pages is not a part of the release for Feb 2013"/>
    <m/>
    <s v="Out"/>
    <m/>
    <n v="2"/>
    <n v="3"/>
    <n v="1"/>
    <m/>
    <s v=""/>
    <m/>
    <s v=""/>
    <m/>
    <s v=""/>
  </r>
  <r>
    <x v="5"/>
    <s v="CMS Dev"/>
    <s v="Detection of device while accessing the site"/>
    <x v="2"/>
    <m/>
    <m/>
    <s v="Out"/>
    <m/>
    <n v="5"/>
    <n v="8"/>
    <n v="1"/>
    <m/>
    <s v=""/>
    <m/>
    <s v=""/>
    <m/>
    <s v=""/>
  </r>
  <r>
    <x v="5"/>
    <s v="CMS Dev"/>
    <s v="Support Rendering of a separate view for mobile devices"/>
    <x v="2"/>
    <s v="This needs to be done for all the templates and components which are to be shown differently for mobiles"/>
    <m/>
    <s v="Out"/>
    <m/>
    <n v="20"/>
    <n v="30"/>
    <n v="1"/>
    <m/>
    <s v=""/>
    <m/>
    <s v=""/>
    <m/>
    <s v=""/>
  </r>
  <r>
    <x v="5"/>
    <s v="Site Dev"/>
    <s v="Creation of required css and js structure to override web versions"/>
    <x v="2"/>
    <m/>
    <m/>
    <s v="Out"/>
    <m/>
    <n v="7"/>
    <n v="12"/>
    <n v="1"/>
    <m/>
    <s v=""/>
    <m/>
    <s v=""/>
    <m/>
    <s v=""/>
  </r>
  <r>
    <x v="8"/>
    <s v="Site Dev"/>
    <s v="Responsive design considerations"/>
    <x v="2"/>
    <m/>
    <m/>
    <s v="In"/>
    <m/>
    <n v="8"/>
    <n v="12"/>
    <n v="1"/>
    <m/>
    <n v="8"/>
    <m/>
    <n v="12"/>
    <m/>
    <n v="10"/>
  </r>
  <r>
    <x v="8"/>
    <s v="Site Dev"/>
    <s v="Define W3C requirements to be used acros the components"/>
    <x v="2"/>
    <m/>
    <m/>
    <s v="In"/>
    <m/>
    <n v="7"/>
    <n v="12"/>
    <n v="1"/>
    <m/>
    <n v="7"/>
    <m/>
    <n v="12"/>
    <m/>
    <n v="9.5"/>
  </r>
  <r>
    <x v="8"/>
    <s v="Site Dev"/>
    <s v="Site Dev Templates - Low"/>
    <x v="2"/>
    <m/>
    <m/>
    <s v="In"/>
    <m/>
    <n v="0.88100000000000001"/>
    <n v="1.2619"/>
    <n v="6"/>
    <m/>
    <n v="5.2859999999999996"/>
    <m/>
    <n v="7.5714000000000006"/>
    <m/>
    <n v="6.4"/>
  </r>
  <r>
    <x v="8"/>
    <s v="Site Dev"/>
    <s v="Site Dev Templates - Medium"/>
    <x v="1"/>
    <m/>
    <m/>
    <s v="In"/>
    <m/>
    <n v="1.2262"/>
    <n v="1.9523999999999999"/>
    <n v="3"/>
    <m/>
    <n v="3.6785999999999999"/>
    <m/>
    <n v="5.8571999999999997"/>
    <m/>
    <n v="4.8"/>
  </r>
  <r>
    <x v="8"/>
    <s v="Site Dev"/>
    <s v="Site Dev Templates - Medium"/>
    <x v="2"/>
    <m/>
    <m/>
    <s v="In"/>
    <m/>
    <n v="1.2262"/>
    <n v="1.9523999999999999"/>
    <n v="6"/>
    <m/>
    <n v="7.3571999999999997"/>
    <m/>
    <n v="11.714399999999999"/>
    <m/>
    <n v="9.5"/>
  </r>
  <r>
    <x v="8"/>
    <s v="Site Dev"/>
    <s v="Site Dev Templates - High"/>
    <x v="2"/>
    <m/>
    <m/>
    <s v="In"/>
    <m/>
    <n v="1.0238"/>
    <n v="1.5476000000000001"/>
    <n v="4"/>
    <m/>
    <n v="4.0952000000000002"/>
    <m/>
    <n v="6.1904000000000003"/>
    <m/>
    <n v="5.0999999999999996"/>
  </r>
  <r>
    <x v="8"/>
    <s v="Site Dev"/>
    <s v="Site Dev Components - Low"/>
    <x v="1"/>
    <s v="HTML(L)+JS(L)"/>
    <m/>
    <s v="In"/>
    <m/>
    <n v="1.0238"/>
    <n v="1.5476000000000001"/>
    <n v="15"/>
    <m/>
    <n v="15.357000000000001"/>
    <m/>
    <n v="23.214000000000002"/>
    <m/>
    <n v="19.3"/>
  </r>
  <r>
    <x v="8"/>
    <s v="Site Dev"/>
    <s v="Site Dev Components - Low"/>
    <x v="2"/>
    <s v="HTML(L)+JS(L)"/>
    <m/>
    <s v="In"/>
    <m/>
    <n v="1.0238"/>
    <n v="1.5476000000000001"/>
    <n v="9"/>
    <m/>
    <n v="9.2141999999999999"/>
    <m/>
    <n v="13.9284"/>
    <m/>
    <n v="11.6"/>
  </r>
  <r>
    <x v="8"/>
    <s v="Site Dev"/>
    <s v="Site Dev Components Medium"/>
    <x v="1"/>
    <s v="HTML(M)+JS(M)"/>
    <m/>
    <s v="In"/>
    <m/>
    <n v="1.6548"/>
    <n v="2.5238"/>
    <n v="12"/>
    <m/>
    <n v="19.857600000000001"/>
    <m/>
    <n v="30.285600000000002"/>
    <m/>
    <n v="25.1"/>
  </r>
  <r>
    <x v="8"/>
    <s v="Site Dev"/>
    <s v="Site Dev Components Medium"/>
    <x v="2"/>
    <s v="HTML(M)+JS(M)"/>
    <m/>
    <s v="In"/>
    <m/>
    <n v="1.6548"/>
    <n v="2.5238"/>
    <n v="32"/>
    <m/>
    <n v="52.953600000000002"/>
    <m/>
    <n v="80.761600000000001"/>
    <m/>
    <n v="66.900000000000006"/>
  </r>
  <r>
    <x v="8"/>
    <s v="Site Dev"/>
    <s v="Site Dev Components - High"/>
    <x v="2"/>
    <s v="HTML(H)+JS(H)"/>
    <m/>
    <s v="In"/>
    <m/>
    <n v="3.1071"/>
    <n v="4"/>
    <n v="16"/>
    <m/>
    <n v="49.7136"/>
    <m/>
    <n v="64"/>
    <m/>
    <n v="56.9"/>
  </r>
  <r>
    <x v="5"/>
    <s v="Site Dev"/>
    <s v="Site Dev - Base Template"/>
    <x v="2"/>
    <s v="Base Template"/>
    <m/>
    <s v="Out"/>
    <m/>
    <n v="2"/>
    <n v="3"/>
    <n v="1"/>
    <m/>
    <s v=""/>
    <m/>
    <s v=""/>
    <m/>
    <s v=""/>
  </r>
  <r>
    <x v="5"/>
    <s v="Site Dev"/>
    <s v="Site Dev - 1-col"/>
    <x v="2"/>
    <s v="1-col"/>
    <m/>
    <s v="Out"/>
    <m/>
    <n v="2"/>
    <n v="3"/>
    <n v="1"/>
    <m/>
    <s v=""/>
    <m/>
    <s v=""/>
    <m/>
    <s v=""/>
  </r>
  <r>
    <x v="5"/>
    <s v="Site Dev"/>
    <s v="Site Dev - 2-col with navigation"/>
    <x v="2"/>
    <s v="2-col with navigation"/>
    <m/>
    <s v="Out"/>
    <m/>
    <n v="2"/>
    <n v="3"/>
    <n v="1"/>
    <m/>
    <s v=""/>
    <m/>
    <s v=""/>
    <m/>
    <s v=""/>
  </r>
  <r>
    <x v="5"/>
    <s v="Site Dev"/>
    <s v="Site Dev - Article Page - 2-col with navigation"/>
    <x v="2"/>
    <s v="Article Page - 2-col with navigation"/>
    <m/>
    <s v="Out"/>
    <m/>
    <n v="2"/>
    <n v="3"/>
    <n v="1"/>
    <m/>
    <s v=""/>
    <m/>
    <s v=""/>
    <m/>
    <s v=""/>
  </r>
  <r>
    <x v="5"/>
    <s v="Site Dev"/>
    <s v="Site Dev - Frame"/>
    <x v="2"/>
    <s v="Frame"/>
    <m/>
    <s v="Out"/>
    <m/>
    <n v="2"/>
    <n v="3"/>
    <n v="1"/>
    <m/>
    <s v=""/>
    <m/>
    <s v=""/>
    <m/>
    <s v=""/>
  </r>
  <r>
    <x v="5"/>
    <s v="Site Dev"/>
    <s v="Site Dev - Overlay Template"/>
    <x v="2"/>
    <s v="Overlay Template"/>
    <m/>
    <s v="Out"/>
    <m/>
    <n v="2"/>
    <n v="3"/>
    <n v="1"/>
    <m/>
    <s v=""/>
    <m/>
    <s v=""/>
    <m/>
    <s v=""/>
  </r>
  <r>
    <x v="5"/>
    <s v="Site Dev"/>
    <s v="Site Dev - Fund Details"/>
    <x v="2"/>
    <s v="Fund Details"/>
    <m/>
    <s v="Out"/>
    <m/>
    <n v="2"/>
    <n v="3"/>
    <n v="1"/>
    <m/>
    <s v=""/>
    <m/>
    <s v=""/>
    <m/>
    <s v=""/>
  </r>
  <r>
    <x v="5"/>
    <s v="CMS Dev"/>
    <s v="Site Dev - Fund Details - Variations"/>
    <x v="2"/>
    <s v="Fund Details - Variations"/>
    <m/>
    <s v="Out"/>
    <s v="Template Implementation - Medium"/>
    <n v="2"/>
    <n v="3"/>
    <n v="4"/>
    <n v="1.4375"/>
    <s v=""/>
    <n v="2.0625"/>
    <s v=""/>
    <m/>
    <s v=""/>
  </r>
  <r>
    <x v="5"/>
    <s v="Site Dev"/>
    <s v="Site Dev - Print"/>
    <x v="2"/>
    <s v="Print"/>
    <m/>
    <s v="Out"/>
    <m/>
    <n v="2"/>
    <n v="3"/>
    <n v="1"/>
    <m/>
    <s v=""/>
    <m/>
    <s v=""/>
    <m/>
    <s v=""/>
  </r>
  <r>
    <x v="5"/>
    <s v="Site Dev"/>
    <s v="Site Dev - LandingPage"/>
    <x v="2"/>
    <s v="LandingPage"/>
    <m/>
    <s v="Out"/>
    <m/>
    <n v="2"/>
    <n v="3"/>
    <n v="1"/>
    <m/>
    <s v=""/>
    <m/>
    <s v=""/>
    <m/>
    <s v=""/>
  </r>
  <r>
    <x v="5"/>
    <s v="Site Dev"/>
    <s v="Site Dev - Insights Template"/>
    <x v="2"/>
    <s v="Insights Template"/>
    <m/>
    <s v="Out"/>
    <m/>
    <n v="2"/>
    <n v="3"/>
    <n v="1"/>
    <m/>
    <s v=""/>
    <m/>
    <s v=""/>
    <m/>
    <s v=""/>
  </r>
  <r>
    <x v="5"/>
    <s v="Site Dev"/>
    <s v="Site Dev - History Template"/>
    <x v="2"/>
    <s v="History Template"/>
    <m/>
    <s v="Out"/>
    <m/>
    <n v="2"/>
    <n v="3"/>
    <n v="1"/>
    <m/>
    <s v=""/>
    <m/>
    <s v=""/>
    <m/>
    <s v=""/>
  </r>
  <r>
    <x v="5"/>
    <s v="Site Dev"/>
    <s v="Site Dev - Carousal Template"/>
    <x v="2"/>
    <s v="Carousal Template"/>
    <m/>
    <s v="Out"/>
    <m/>
    <n v="2"/>
    <n v="3"/>
    <n v="1"/>
    <m/>
    <s v=""/>
    <m/>
    <s v=""/>
    <m/>
    <s v=""/>
  </r>
  <r>
    <x v="5"/>
    <s v="Site Dev"/>
    <s v="Site Dev - UserProfile Template"/>
    <x v="2"/>
    <s v="UserProfile Template"/>
    <m/>
    <s v="Out"/>
    <m/>
    <n v="2"/>
    <n v="3"/>
    <n v="1"/>
    <m/>
    <s v=""/>
    <m/>
    <s v=""/>
    <m/>
    <s v=""/>
  </r>
  <r>
    <x v="5"/>
    <s v="Site Dev"/>
    <s v="Components"/>
    <x v="2"/>
    <m/>
    <m/>
    <s v="Out"/>
    <m/>
    <m/>
    <m/>
    <n v="1"/>
    <m/>
    <s v=""/>
    <m/>
    <s v=""/>
    <m/>
    <s v=""/>
  </r>
  <r>
    <x v="5"/>
    <s v="Site Dev"/>
    <s v="Site Dev - Age-based Portfolios"/>
    <x v="2"/>
    <s v="Age-based Portfolios"/>
    <m/>
    <s v="Out"/>
    <m/>
    <n v="1.5"/>
    <n v="2"/>
    <n v="1"/>
    <m/>
    <s v=""/>
    <m/>
    <s v=""/>
    <m/>
    <s v=""/>
  </r>
  <r>
    <x v="5"/>
    <s v="Site Dev"/>
    <s v="Site Dev - Average Annual Total Returns"/>
    <x v="2"/>
    <s v="Average Annual Total Returns"/>
    <m/>
    <s v="Out"/>
    <m/>
    <n v="1.5"/>
    <n v="2"/>
    <n v="1"/>
    <m/>
    <s v=""/>
    <m/>
    <s v=""/>
    <m/>
    <s v=""/>
  </r>
  <r>
    <x v="5"/>
    <s v="Site Dev"/>
    <s v="Site Dev - Banner"/>
    <x v="2"/>
    <s v="Banner"/>
    <m/>
    <s v="Out"/>
    <m/>
    <n v="1.5"/>
    <n v="2"/>
    <n v="1"/>
    <m/>
    <s v=""/>
    <m/>
    <s v=""/>
    <m/>
    <s v=""/>
  </r>
  <r>
    <x v="5"/>
    <s v="Site Dev"/>
    <s v="Site Dev - Calendar Year Returns"/>
    <x v="2"/>
    <s v="Calendar Year Returns"/>
    <m/>
    <s v="Out"/>
    <m/>
    <n v="1.5"/>
    <n v="2"/>
    <n v="1"/>
    <m/>
    <s v=""/>
    <m/>
    <s v=""/>
    <m/>
    <s v=""/>
  </r>
  <r>
    <x v="5"/>
    <s v="Site Dev"/>
    <s v="Site Dev - Carousal"/>
    <x v="2"/>
    <s v="Carousal"/>
    <m/>
    <s v="Out"/>
    <m/>
    <n v="1.5"/>
    <n v="2"/>
    <n v="1"/>
    <m/>
    <s v=""/>
    <m/>
    <s v=""/>
    <m/>
    <s v=""/>
  </r>
  <r>
    <x v="5"/>
    <s v="Site Dev"/>
    <s v="Site Dev - Cart confirmation"/>
    <x v="2"/>
    <s v="Cart confirmation"/>
    <m/>
    <s v="Out"/>
    <m/>
    <n v="1.5"/>
    <n v="2"/>
    <n v="1"/>
    <m/>
    <s v=""/>
    <m/>
    <s v=""/>
    <m/>
    <s v=""/>
  </r>
  <r>
    <x v="5"/>
    <s v="Site Dev"/>
    <s v="Site Dev - Cart delivery"/>
    <x v="2"/>
    <s v="Cart delivery"/>
    <m/>
    <s v="Out"/>
    <m/>
    <n v="1.5"/>
    <n v="2"/>
    <n v="1"/>
    <m/>
    <s v=""/>
    <m/>
    <s v=""/>
    <m/>
    <s v=""/>
  </r>
  <r>
    <x v="5"/>
    <s v="Site Dev"/>
    <s v="Site Dev - Cart details"/>
    <x v="2"/>
    <s v="Cart details"/>
    <m/>
    <s v="Out"/>
    <m/>
    <n v="1.5"/>
    <n v="2"/>
    <n v="1"/>
    <m/>
    <s v=""/>
    <m/>
    <s v=""/>
    <m/>
    <s v=""/>
  </r>
  <r>
    <x v="5"/>
    <s v="Site Dev"/>
    <s v="Site Dev - Col Control"/>
    <x v="2"/>
    <s v="Col Control"/>
    <m/>
    <s v="Out"/>
    <m/>
    <n v="1.5"/>
    <n v="2"/>
    <n v="1"/>
    <m/>
    <s v=""/>
    <m/>
    <s v=""/>
    <m/>
    <s v=""/>
  </r>
  <r>
    <x v="5"/>
    <s v="Site Dev"/>
    <s v="Site Dev - Compare Panel"/>
    <x v="2"/>
    <s v="Compare Panel"/>
    <m/>
    <s v="Out"/>
    <m/>
    <n v="1.5"/>
    <n v="2"/>
    <n v="1"/>
    <m/>
    <s v=""/>
    <m/>
    <s v=""/>
    <m/>
    <s v=""/>
  </r>
  <r>
    <x v="5"/>
    <s v="Site Dev"/>
    <s v="Site Dev - Compare Results"/>
    <x v="2"/>
    <s v="Compare Results"/>
    <m/>
    <s v="Out"/>
    <m/>
    <n v="1.5"/>
    <n v="2"/>
    <n v="1"/>
    <m/>
    <s v=""/>
    <m/>
    <s v=""/>
    <m/>
    <s v=""/>
  </r>
  <r>
    <x v="5"/>
    <s v="Site Dev"/>
    <s v="Site Dev - Daily Prices"/>
    <x v="2"/>
    <s v="Daily Prices"/>
    <m/>
    <s v="Out"/>
    <m/>
    <n v="1.5"/>
    <n v="2"/>
    <n v="1"/>
    <m/>
    <s v=""/>
    <m/>
    <s v=""/>
    <m/>
    <s v=""/>
  </r>
  <r>
    <x v="5"/>
    <s v="Site Dev"/>
    <s v="Site Dev - Footer"/>
    <x v="2"/>
    <s v="Footer"/>
    <m/>
    <s v="Out"/>
    <m/>
    <n v="1.5"/>
    <n v="2"/>
    <n v="1"/>
    <m/>
    <s v=""/>
    <m/>
    <s v=""/>
    <m/>
    <s v=""/>
  </r>
  <r>
    <x v="5"/>
    <s v="Site Dev"/>
    <s v="Site Dev - Form"/>
    <x v="2"/>
    <s v="Form"/>
    <m/>
    <s v="Out"/>
    <m/>
    <n v="1.5"/>
    <n v="2"/>
    <n v="1"/>
    <m/>
    <s v=""/>
    <m/>
    <s v=""/>
    <m/>
    <s v=""/>
  </r>
  <r>
    <x v="5"/>
    <s v="Site Dev"/>
    <s v="Site Dev - Fund Basics"/>
    <x v="2"/>
    <s v="Fund Basics"/>
    <m/>
    <s v="Out"/>
    <m/>
    <n v="1.5"/>
    <n v="2"/>
    <n v="1"/>
    <m/>
    <s v=""/>
    <m/>
    <s v=""/>
    <m/>
    <s v=""/>
  </r>
  <r>
    <x v="5"/>
    <s v="Site Dev"/>
    <s v="Site Dev - Fund Information Pane"/>
    <x v="2"/>
    <s v="Fund Information Pane"/>
    <m/>
    <s v="Out"/>
    <m/>
    <n v="1.5"/>
    <n v="2"/>
    <n v="1"/>
    <m/>
    <s v=""/>
    <m/>
    <s v=""/>
    <m/>
    <s v=""/>
  </r>
  <r>
    <x v="5"/>
    <s v="Site Dev"/>
    <s v="Site Dev - Fund List"/>
    <x v="2"/>
    <s v="Fund List"/>
    <m/>
    <s v="Out"/>
    <m/>
    <n v="1.5"/>
    <n v="2"/>
    <n v="1"/>
    <m/>
    <s v=""/>
    <m/>
    <s v=""/>
    <m/>
    <s v=""/>
  </r>
  <r>
    <x v="5"/>
    <s v="Site Dev"/>
    <s v="Site Dev - Fund Navigation Pane"/>
    <x v="2"/>
    <s v="Fund Navigation Pane"/>
    <m/>
    <s v="Out"/>
    <m/>
    <n v="1.5"/>
    <n v="2"/>
    <n v="1"/>
    <m/>
    <s v=""/>
    <m/>
    <s v=""/>
    <m/>
    <s v=""/>
  </r>
  <r>
    <x v="5"/>
    <s v="Site Dev"/>
    <s v="Site Dev - Funds List"/>
    <x v="2"/>
    <s v="Funds List"/>
    <m/>
    <s v="Out"/>
    <m/>
    <n v="1.5"/>
    <n v="2"/>
    <n v="1"/>
    <m/>
    <s v=""/>
    <m/>
    <s v=""/>
    <m/>
    <s v=""/>
  </r>
  <r>
    <x v="5"/>
    <s v="Site Dev"/>
    <s v="Site Dev - Funds Module"/>
    <x v="2"/>
    <s v="Funds Module"/>
    <m/>
    <s v="Out"/>
    <m/>
    <n v="1.5"/>
    <n v="2"/>
    <n v="1"/>
    <m/>
    <s v=""/>
    <m/>
    <s v=""/>
    <m/>
    <s v=""/>
  </r>
  <r>
    <x v="5"/>
    <s v="Site Dev"/>
    <s v="Site Dev - Funds Navigation Tabs"/>
    <x v="2"/>
    <s v="Funds Navigation Tabs"/>
    <m/>
    <s v="Out"/>
    <m/>
    <n v="1.5"/>
    <n v="2"/>
    <n v="1"/>
    <m/>
    <s v=""/>
    <m/>
    <s v=""/>
    <m/>
    <s v=""/>
  </r>
  <r>
    <x v="5"/>
    <s v="Site Dev"/>
    <s v="Site Dev - Growth of $10,000"/>
    <x v="2"/>
    <s v="Growth of $10,000"/>
    <m/>
    <s v="Out"/>
    <m/>
    <n v="1.5"/>
    <n v="2"/>
    <n v="1"/>
    <m/>
    <s v=""/>
    <m/>
    <s v=""/>
    <m/>
    <s v=""/>
  </r>
  <r>
    <x v="5"/>
    <s v="Site Dev"/>
    <s v="Site Dev - Highlights"/>
    <x v="2"/>
    <s v="Highlights"/>
    <m/>
    <s v="Out"/>
    <m/>
    <n v="1.5"/>
    <n v="2"/>
    <n v="1"/>
    <m/>
    <s v=""/>
    <m/>
    <s v=""/>
    <m/>
    <s v=""/>
  </r>
  <r>
    <x v="5"/>
    <s v="Site Dev"/>
    <s v="Site Dev - Holdings Characteristics"/>
    <x v="2"/>
    <s v="Holdings Characteristics"/>
    <m/>
    <s v="Out"/>
    <m/>
    <n v="1.5"/>
    <n v="2"/>
    <n v="1"/>
    <m/>
    <s v=""/>
    <m/>
    <s v=""/>
    <m/>
    <s v=""/>
  </r>
  <r>
    <x v="5"/>
    <s v="Site Dev"/>
    <s v="Site Dev - Individual Fund Options"/>
    <x v="2"/>
    <s v="Individual Fund Options"/>
    <m/>
    <s v="Out"/>
    <m/>
    <n v="1.5"/>
    <n v="2"/>
    <n v="1"/>
    <m/>
    <s v=""/>
    <m/>
    <s v=""/>
    <m/>
    <s v=""/>
  </r>
  <r>
    <x v="5"/>
    <s v="Site Dev"/>
    <s v="Site Dev - Insights "/>
    <x v="2"/>
    <s v="Insights "/>
    <m/>
    <s v="Out"/>
    <m/>
    <n v="1.5"/>
    <n v="2"/>
    <n v="1"/>
    <m/>
    <s v=""/>
    <m/>
    <s v=""/>
    <m/>
    <s v=""/>
  </r>
  <r>
    <x v="5"/>
    <s v="Site Dev"/>
    <s v="Site Dev - Insights &amp; Research"/>
    <x v="2"/>
    <s v="Insights &amp; Research"/>
    <m/>
    <s v="Out"/>
    <m/>
    <n v="1.5"/>
    <n v="2"/>
    <n v="1"/>
    <m/>
    <s v=""/>
    <m/>
    <s v=""/>
    <m/>
    <s v=""/>
  </r>
  <r>
    <x v="5"/>
    <s v="Site Dev"/>
    <s v="Site Dev - Literature List"/>
    <x v="2"/>
    <s v="Literature List"/>
    <m/>
    <s v="Out"/>
    <m/>
    <n v="1.5"/>
    <n v="2"/>
    <n v="1"/>
    <m/>
    <s v=""/>
    <m/>
    <s v=""/>
    <m/>
    <s v=""/>
  </r>
  <r>
    <x v="5"/>
    <s v="Site Dev"/>
    <s v="Site Dev - Logo"/>
    <x v="2"/>
    <s v="Logo"/>
    <m/>
    <s v="Out"/>
    <m/>
    <n v="1.5"/>
    <n v="2"/>
    <n v="1"/>
    <m/>
    <s v=""/>
    <m/>
    <s v=""/>
    <m/>
    <s v=""/>
  </r>
  <r>
    <x v="5"/>
    <s v="Site Dev"/>
    <s v="Site Dev - Market Cap Distribution"/>
    <x v="2"/>
    <s v="Market Cap Distribution"/>
    <m/>
    <s v="Out"/>
    <m/>
    <n v="1.5"/>
    <n v="2"/>
    <n v="1"/>
    <m/>
    <s v=""/>
    <m/>
    <s v=""/>
    <m/>
    <s v=""/>
  </r>
  <r>
    <x v="5"/>
    <s v="Site Dev"/>
    <s v="Site Dev - Performance"/>
    <x v="2"/>
    <s v="Performance"/>
    <m/>
    <s v="Out"/>
    <m/>
    <n v="1.5"/>
    <n v="2"/>
    <n v="1"/>
    <m/>
    <s v=""/>
    <m/>
    <s v=""/>
    <m/>
    <s v=""/>
  </r>
  <r>
    <x v="5"/>
    <s v="Site Dev"/>
    <s v="Site Dev - Phone"/>
    <x v="2"/>
    <s v="Phone"/>
    <m/>
    <s v="Out"/>
    <m/>
    <n v="1.5"/>
    <n v="2"/>
    <n v="1"/>
    <m/>
    <s v=""/>
    <m/>
    <s v=""/>
    <m/>
    <s v=""/>
  </r>
  <r>
    <x v="5"/>
    <s v="Site Dev"/>
    <s v="Site Dev - PlanOverview"/>
    <x v="2"/>
    <s v="PlanOverview"/>
    <m/>
    <s v="Out"/>
    <m/>
    <n v="1.5"/>
    <n v="2"/>
    <n v="1"/>
    <m/>
    <s v=""/>
    <m/>
    <s v=""/>
    <m/>
    <s v=""/>
  </r>
  <r>
    <x v="5"/>
    <s v="Site Dev"/>
    <s v="Site Dev - Portfolio Management"/>
    <x v="2"/>
    <s v="Portfolio Management"/>
    <m/>
    <s v="Out"/>
    <m/>
    <n v="1.5"/>
    <n v="2"/>
    <n v="1"/>
    <m/>
    <s v=""/>
    <m/>
    <s v=""/>
    <m/>
    <s v=""/>
  </r>
  <r>
    <x v="5"/>
    <s v="Site Dev"/>
    <s v="Site Dev - Press &amp; News"/>
    <x v="2"/>
    <s v="Press &amp; News"/>
    <m/>
    <s v="Out"/>
    <m/>
    <n v="1.5"/>
    <n v="2"/>
    <n v="1"/>
    <m/>
    <s v=""/>
    <m/>
    <s v=""/>
    <m/>
    <s v=""/>
  </r>
  <r>
    <x v="5"/>
    <s v="Site Dev"/>
    <s v="Site Dev - Print and Share"/>
    <x v="2"/>
    <s v="Print and Share"/>
    <m/>
    <s v="Out"/>
    <m/>
    <n v="1.5"/>
    <n v="2"/>
    <n v="1"/>
    <m/>
    <s v=""/>
    <m/>
    <s v=""/>
    <m/>
    <s v=""/>
  </r>
  <r>
    <x v="5"/>
    <s v="Site Dev"/>
    <s v="Site Dev - Sales Tools"/>
    <x v="2"/>
    <s v="Sales Tools"/>
    <m/>
    <s v="Out"/>
    <m/>
    <n v="1.5"/>
    <n v="2"/>
    <n v="1"/>
    <m/>
    <s v=""/>
    <m/>
    <s v=""/>
    <m/>
    <s v=""/>
  </r>
  <r>
    <x v="5"/>
    <s v="Site Dev"/>
    <s v="Site Dev - Search"/>
    <x v="2"/>
    <s v="Search"/>
    <m/>
    <s v="Out"/>
    <m/>
    <n v="1.5"/>
    <n v="2"/>
    <n v="1"/>
    <m/>
    <s v=""/>
    <m/>
    <s v=""/>
    <m/>
    <s v=""/>
  </r>
  <r>
    <x v="5"/>
    <s v="Site Dev"/>
    <s v="Site Dev - Search Filters"/>
    <x v="2"/>
    <s v="Search Filters"/>
    <m/>
    <s v="Out"/>
    <m/>
    <n v="1.5"/>
    <n v="2"/>
    <n v="1"/>
    <m/>
    <s v=""/>
    <m/>
    <s v=""/>
    <m/>
    <s v=""/>
  </r>
  <r>
    <x v="5"/>
    <s v="Site Dev"/>
    <s v="Site Dev - Search Results"/>
    <x v="2"/>
    <s v="Search Results"/>
    <m/>
    <s v="Out"/>
    <m/>
    <n v="1.5"/>
    <n v="2"/>
    <n v="1"/>
    <m/>
    <s v=""/>
    <m/>
    <s v=""/>
    <m/>
    <s v=""/>
  </r>
  <r>
    <x v="5"/>
    <s v="Site Dev"/>
    <s v="Site Dev - Sector Exposure"/>
    <x v="2"/>
    <s v="Sector Exposure"/>
    <m/>
    <s v="Out"/>
    <m/>
    <n v="1.5"/>
    <n v="2"/>
    <n v="1"/>
    <m/>
    <s v=""/>
    <m/>
    <s v=""/>
    <m/>
    <s v=""/>
  </r>
  <r>
    <x v="5"/>
    <s v="Site Dev"/>
    <s v="Site Dev - Segmentation"/>
    <x v="2"/>
    <s v="Segmentation"/>
    <m/>
    <s v="Out"/>
    <m/>
    <n v="1.5"/>
    <n v="2"/>
    <n v="1"/>
    <m/>
    <s v=""/>
    <m/>
    <s v=""/>
    <m/>
    <s v=""/>
  </r>
  <r>
    <x v="5"/>
    <s v="Site Dev"/>
    <s v="Site Dev - Selection Box"/>
    <x v="2"/>
    <s v="Selection Box"/>
    <m/>
    <s v="Out"/>
    <m/>
    <n v="1.5"/>
    <n v="2"/>
    <n v="1"/>
    <m/>
    <s v=""/>
    <m/>
    <s v=""/>
    <m/>
    <s v=""/>
  </r>
  <r>
    <x v="5"/>
    <s v="Site Dev"/>
    <s v="Site Dev - Seminar"/>
    <x v="2"/>
    <s v="Seminar"/>
    <m/>
    <s v="Out"/>
    <m/>
    <n v="1.5"/>
    <n v="2"/>
    <n v="1"/>
    <m/>
    <s v=""/>
    <m/>
    <s v=""/>
    <m/>
    <s v=""/>
  </r>
  <r>
    <x v="5"/>
    <s v="Site Dev"/>
    <s v="Site Dev - Spotlight"/>
    <x v="2"/>
    <s v="Spotlight"/>
    <m/>
    <s v="Out"/>
    <m/>
    <n v="1.5"/>
    <n v="2"/>
    <n v="1"/>
    <m/>
    <s v=""/>
    <m/>
    <s v=""/>
    <m/>
    <s v=""/>
  </r>
  <r>
    <x v="5"/>
    <s v="Site Dev"/>
    <s v="Site Dev - Static Portfolios"/>
    <x v="2"/>
    <s v="Static Portfolios"/>
    <m/>
    <s v="Out"/>
    <m/>
    <n v="1.5"/>
    <n v="2"/>
    <n v="1"/>
    <m/>
    <s v=""/>
    <m/>
    <s v=""/>
    <m/>
    <s v=""/>
  </r>
  <r>
    <x v="5"/>
    <s v="Site Dev"/>
    <s v="Site Dev - Strategic Spotlight"/>
    <x v="2"/>
    <s v="Strategic Spotlight"/>
    <m/>
    <s v="Out"/>
    <m/>
    <n v="1.5"/>
    <n v="2"/>
    <n v="1"/>
    <m/>
    <s v=""/>
    <m/>
    <s v=""/>
    <m/>
    <s v=""/>
  </r>
  <r>
    <x v="5"/>
    <s v="Site Dev"/>
    <s v="Site Dev - TabComponent"/>
    <x v="2"/>
    <s v="TabComponent"/>
    <m/>
    <s v="Out"/>
    <m/>
    <n v="1.5"/>
    <n v="2"/>
    <n v="1"/>
    <m/>
    <s v=""/>
    <m/>
    <s v=""/>
    <m/>
    <s v=""/>
  </r>
  <r>
    <x v="5"/>
    <s v="Site Dev"/>
    <s v="Site Dev - Text"/>
    <x v="2"/>
    <s v="Text"/>
    <m/>
    <s v="Out"/>
    <m/>
    <n v="1.5"/>
    <n v="2"/>
    <n v="1"/>
    <m/>
    <s v=""/>
    <m/>
    <s v=""/>
    <m/>
    <s v=""/>
  </r>
  <r>
    <x v="5"/>
    <s v="Site Dev"/>
    <s v="Site Dev - Text and links"/>
    <x v="2"/>
    <s v="Text and links"/>
    <m/>
    <s v="Out"/>
    <m/>
    <n v="1.5"/>
    <n v="2"/>
    <n v="1"/>
    <m/>
    <s v=""/>
    <m/>
    <s v=""/>
    <m/>
    <s v=""/>
  </r>
  <r>
    <x v="5"/>
    <s v="Site Dev"/>
    <s v="Site Dev - Tiles"/>
    <x v="2"/>
    <s v="Tiles"/>
    <m/>
    <s v="Out"/>
    <m/>
    <n v="1.5"/>
    <n v="2"/>
    <n v="1"/>
    <m/>
    <s v=""/>
    <m/>
    <s v=""/>
    <m/>
    <s v=""/>
  </r>
  <r>
    <x v="5"/>
    <s v="Site Dev"/>
    <s v="Site Dev - Timeline"/>
    <x v="2"/>
    <s v="Timeline"/>
    <m/>
    <s v="Out"/>
    <m/>
    <n v="1.5"/>
    <n v="2"/>
    <n v="1"/>
    <m/>
    <s v=""/>
    <m/>
    <s v=""/>
    <m/>
    <s v=""/>
  </r>
  <r>
    <x v="5"/>
    <s v="Site Dev"/>
    <s v="Site Dev - Title and Text"/>
    <x v="2"/>
    <s v="Title and Text"/>
    <m/>
    <s v="Out"/>
    <m/>
    <n v="1.5"/>
    <n v="2"/>
    <n v="1"/>
    <m/>
    <s v=""/>
    <m/>
    <s v=""/>
    <m/>
    <s v=""/>
  </r>
  <r>
    <x v="5"/>
    <s v="Site Dev"/>
    <s v="Site Dev - title and text + Links"/>
    <x v="2"/>
    <s v="title and text + Links"/>
    <m/>
    <s v="Out"/>
    <m/>
    <n v="1.5"/>
    <n v="2"/>
    <n v="1"/>
    <m/>
    <s v=""/>
    <m/>
    <s v=""/>
    <m/>
    <s v=""/>
  </r>
  <r>
    <x v="5"/>
    <s v="Site Dev"/>
    <s v="Site Dev - Title with Jump Section"/>
    <x v="2"/>
    <s v="Title with Jump Section"/>
    <m/>
    <s v="Out"/>
    <m/>
    <n v="1.5"/>
    <n v="2"/>
    <n v="1"/>
    <m/>
    <s v=""/>
    <m/>
    <s v=""/>
    <m/>
    <s v=""/>
  </r>
  <r>
    <x v="5"/>
    <s v="Site Dev"/>
    <s v="Site Dev - Top Navigation"/>
    <x v="2"/>
    <s v="Top Navigation"/>
    <m/>
    <s v="Out"/>
    <m/>
    <n v="1.5"/>
    <n v="2"/>
    <n v="1"/>
    <m/>
    <s v=""/>
    <m/>
    <s v=""/>
    <m/>
    <s v=""/>
  </r>
  <r>
    <x v="5"/>
    <s v="Site Dev"/>
    <s v="Site Dev - Top Ten Holdings"/>
    <x v="2"/>
    <s v="Top Ten Holdings"/>
    <m/>
    <s v="Out"/>
    <m/>
    <n v="1.5"/>
    <n v="2"/>
    <n v="1"/>
    <m/>
    <s v=""/>
    <m/>
    <s v=""/>
    <m/>
    <s v=""/>
  </r>
  <r>
    <x v="5"/>
    <s v="Site Dev"/>
    <s v="Site Dev - UserProfile"/>
    <x v="2"/>
    <s v="UserProfile"/>
    <m/>
    <s v="Out"/>
    <m/>
    <n v="1.5"/>
    <n v="2"/>
    <n v="1"/>
    <m/>
    <s v=""/>
    <m/>
    <s v=""/>
    <m/>
    <s v=""/>
  </r>
  <r>
    <x v="5"/>
    <s v="Site Dev"/>
    <s v="Site Dev - Utility Footer"/>
    <x v="2"/>
    <s v="Utility Footer"/>
    <m/>
    <s v="Out"/>
    <m/>
    <n v="1.5"/>
    <n v="2"/>
    <n v="1"/>
    <m/>
    <s v=""/>
    <m/>
    <s v=""/>
    <m/>
    <s v=""/>
  </r>
  <r>
    <x v="5"/>
    <s v="Site Dev"/>
    <s v="Site Dev - Utility Navigation"/>
    <x v="2"/>
    <s v="Utility Navigation"/>
    <m/>
    <s v="Out"/>
    <m/>
    <n v="1.5"/>
    <n v="2"/>
    <n v="1"/>
    <m/>
    <s v=""/>
    <m/>
    <s v=""/>
    <m/>
    <s v=""/>
  </r>
  <r>
    <x v="5"/>
    <s v="Site Dev"/>
    <s v="Site Dev - Login"/>
    <x v="2"/>
    <s v="Login"/>
    <m/>
    <s v="Out"/>
    <m/>
    <n v="1.5"/>
    <n v="2"/>
    <n v="1"/>
    <m/>
    <s v=""/>
    <m/>
    <s v=""/>
    <m/>
    <s v=""/>
  </r>
  <r>
    <x v="5"/>
    <s v="Site Dev"/>
    <s v="Site Dev - Register"/>
    <x v="2"/>
    <s v="Register"/>
    <m/>
    <s v="Out"/>
    <m/>
    <n v="1.5"/>
    <n v="2"/>
    <n v="1"/>
    <m/>
    <s v=""/>
    <m/>
    <s v=""/>
    <m/>
    <s v=""/>
  </r>
  <r>
    <x v="5"/>
    <s v="Site Dev"/>
    <s v="Site Dev - Register Comfirmation"/>
    <x v="2"/>
    <s v="Register Comfirmation"/>
    <m/>
    <s v="Out"/>
    <m/>
    <n v="1.5"/>
    <n v="2"/>
    <n v="1"/>
    <m/>
    <s v=""/>
    <m/>
    <s v=""/>
    <m/>
    <s v=""/>
  </r>
  <r>
    <x v="8"/>
    <s v="Site Dev"/>
    <s v="CSS Framework"/>
    <x v="1"/>
    <s v="CSS Reset, Grid systems, Global styles"/>
    <m/>
    <s v="In"/>
    <m/>
    <n v="3"/>
    <n v="5"/>
    <n v="1"/>
    <m/>
    <n v="3"/>
    <m/>
    <n v="5"/>
    <m/>
    <n v="4"/>
  </r>
  <r>
    <x v="8"/>
    <s v="Site Dev"/>
    <s v="Java Script Framework"/>
    <x v="1"/>
    <s v="jQuery, name space, configurations, global scripts, module initilizations, additional effort for jquery custom modules to be included"/>
    <m/>
    <s v="In"/>
    <m/>
    <n v="2"/>
    <n v="3"/>
    <n v="4"/>
    <m/>
    <n v="8"/>
    <m/>
    <n v="12"/>
    <m/>
    <n v="10"/>
  </r>
  <r>
    <x v="9"/>
    <s v="QA"/>
    <s v="Creation of Test Scripts"/>
    <x v="1"/>
    <s v="Assuming 50 functional test scripts to be created"/>
    <m/>
    <s v="In"/>
    <m/>
    <n v="1"/>
    <n v="2"/>
    <n v="10"/>
    <m/>
    <n v="10"/>
    <m/>
    <n v="20"/>
    <m/>
    <n v="15"/>
  </r>
  <r>
    <x v="9"/>
    <s v="QA"/>
    <s v="Creation of Test Scripts"/>
    <x v="2"/>
    <s v="Assuming 50 functional test scripts to be created"/>
    <m/>
    <s v="In"/>
    <m/>
    <n v="1"/>
    <n v="2"/>
    <n v="40"/>
    <m/>
    <n v="40"/>
    <m/>
    <n v="80"/>
    <m/>
    <n v="60"/>
  </r>
  <r>
    <x v="9"/>
    <s v="QA"/>
    <s v="Iteration Testing and Bug Fixing"/>
    <x v="1"/>
    <s v="Assumign 3 cycles of testing of 50 functional test scripts"/>
    <m/>
    <s v="In"/>
    <m/>
    <n v="0.5"/>
    <n v="0.75"/>
    <n v="35"/>
    <m/>
    <n v="17.5"/>
    <m/>
    <n v="26.25"/>
    <m/>
    <n v="21.9"/>
  </r>
  <r>
    <x v="9"/>
    <s v="QA"/>
    <s v="Iteration Testing and Bug Fixing"/>
    <x v="2"/>
    <s v="Assumign 3 cycles of testing of 50 functional test scripts"/>
    <m/>
    <s v="In"/>
    <m/>
    <n v="0.5"/>
    <n v="0.75"/>
    <n v="115"/>
    <m/>
    <n v="57.5"/>
    <m/>
    <n v="86.25"/>
    <m/>
    <n v="71.900000000000006"/>
  </r>
  <r>
    <x v="9"/>
    <s v="QA"/>
    <s v="Iteration Bug Fixing"/>
    <x v="2"/>
    <s v="Assumign 3 cycles of testing"/>
    <m/>
    <s v="In"/>
    <m/>
    <n v="22"/>
    <n v="35"/>
    <n v="2"/>
    <m/>
    <n v="44"/>
    <m/>
    <n v="70"/>
    <m/>
    <n v="57"/>
  </r>
  <r>
    <x v="9"/>
    <s v="QA"/>
    <s v="Iteration Testing - cross browser and Mobile devices testing"/>
    <x v="2"/>
    <s v="Assumign 2 cycles of testing of 25 functional test scripts"/>
    <m/>
    <s v="In"/>
    <m/>
    <n v="0.5"/>
    <n v="0.75"/>
    <n v="50"/>
    <m/>
    <n v="25"/>
    <m/>
    <n v="37.5"/>
    <m/>
    <n v="31.3"/>
  </r>
  <r>
    <x v="9"/>
    <s v="QA"/>
    <s v="Bug fixing - cross browser and Mobile devices testing"/>
    <x v="2"/>
    <s v="Assumign 2 cycles of testing of 25 functional test scripts"/>
    <m/>
    <s v="In"/>
    <m/>
    <n v="10"/>
    <n v="15"/>
    <n v="2"/>
    <m/>
    <n v="20"/>
    <m/>
    <n v="30"/>
    <m/>
    <n v="25"/>
  </r>
  <r>
    <x v="9"/>
    <s v="QA"/>
    <s v="Test content creation"/>
    <x v="2"/>
    <m/>
    <m/>
    <s v="In"/>
    <m/>
    <n v="15"/>
    <n v="20"/>
    <n v="1"/>
    <m/>
    <n v="15"/>
    <m/>
    <n v="20"/>
    <m/>
    <n v="17.5"/>
  </r>
  <r>
    <x v="5"/>
    <s v="CMS Dev"/>
    <s v="Iteration bug fixing"/>
    <x v="2"/>
    <m/>
    <m/>
    <s v="In"/>
    <m/>
    <n v="40"/>
    <n v="60"/>
    <n v="1"/>
    <m/>
    <n v="40"/>
    <m/>
    <n v="60"/>
    <m/>
    <n v="50"/>
  </r>
  <r>
    <x v="10"/>
    <s v="Performance"/>
    <s v="Performance Test case creation"/>
    <x v="2"/>
    <s v="Creation of sample scenarios for perfoamnce testing"/>
    <m/>
    <s v="In"/>
    <m/>
    <n v="12"/>
    <n v="15"/>
    <n v="3"/>
    <m/>
    <n v="36"/>
    <m/>
    <n v="45"/>
    <m/>
    <n v="40.5"/>
  </r>
  <r>
    <x v="10"/>
    <s v="Performance"/>
    <s v="Performance Test case execution"/>
    <x v="2"/>
    <m/>
    <m/>
    <s v="In"/>
    <m/>
    <n v="2"/>
    <n v="3"/>
    <n v="5"/>
    <m/>
    <n v="10"/>
    <m/>
    <n v="15"/>
    <m/>
    <n v="12.5"/>
  </r>
  <r>
    <x v="10"/>
    <s v="Infra"/>
    <s v="Performance Optimization activities"/>
    <x v="2"/>
    <m/>
    <m/>
    <s v="In"/>
    <m/>
    <n v="15"/>
    <n v="20"/>
    <n v="1"/>
    <m/>
    <n v="15"/>
    <m/>
    <n v="20"/>
    <m/>
    <n v="17.5"/>
  </r>
  <r>
    <x v="10"/>
    <s v="CMS Dev"/>
    <s v="Performance Optimization activities"/>
    <x v="2"/>
    <m/>
    <m/>
    <s v="In"/>
    <m/>
    <n v="7"/>
    <n v="12"/>
    <n v="1"/>
    <m/>
    <n v="7"/>
    <m/>
    <n v="12"/>
    <m/>
    <n v="9.5"/>
  </r>
  <r>
    <x v="10"/>
    <m/>
    <s v="AccessibilityTest case creation"/>
    <x v="2"/>
    <s v="Creation of sample scenarios for perfoamnce testing"/>
    <m/>
    <s v="Out"/>
    <m/>
    <n v="12"/>
    <n v="15"/>
    <n v="1"/>
    <m/>
    <s v=""/>
    <m/>
    <s v=""/>
    <m/>
    <s v=""/>
  </r>
  <r>
    <x v="10"/>
    <m/>
    <s v="AccessibilityTest case execution"/>
    <x v="2"/>
    <m/>
    <m/>
    <s v="Out"/>
    <m/>
    <n v="10"/>
    <n v="15"/>
    <n v="1"/>
    <m/>
    <s v=""/>
    <m/>
    <s v=""/>
    <m/>
    <s v=""/>
  </r>
  <r>
    <x v="10"/>
    <s v="Security"/>
    <s v="Security Test case execution"/>
    <x v="2"/>
    <m/>
    <m/>
    <s v="In"/>
    <m/>
    <n v="10"/>
    <n v="15"/>
    <n v="1"/>
    <m/>
    <n v="10"/>
    <m/>
    <n v="15"/>
    <m/>
    <n v="12.5"/>
  </r>
  <r>
    <x v="10"/>
    <s v="Security"/>
    <s v="Security fixing activities"/>
    <x v="2"/>
    <m/>
    <m/>
    <s v="In"/>
    <m/>
    <n v="5"/>
    <n v="8"/>
    <n v="1"/>
    <m/>
    <n v="5"/>
    <m/>
    <n v="8"/>
    <m/>
    <n v="6.5"/>
  </r>
  <r>
    <x v="11"/>
    <s v="Integration"/>
    <s v="Integration"/>
    <x v="2"/>
    <m/>
    <m/>
    <s v="In"/>
    <m/>
    <m/>
    <m/>
    <n v="1"/>
    <m/>
    <s v=""/>
    <m/>
    <s v=""/>
    <m/>
    <s v=""/>
  </r>
  <r>
    <x v="11"/>
    <s v="Integration"/>
    <s v="Create service to download synthesis data and put in the crx repository"/>
    <x v="1"/>
    <m/>
    <m/>
    <s v="In"/>
    <m/>
    <m/>
    <m/>
    <n v="1"/>
    <m/>
    <m/>
    <m/>
    <s v=""/>
    <m/>
    <s v=""/>
  </r>
  <r>
    <x v="11"/>
    <s v="Integration"/>
    <s v="Service to download the file from sftp"/>
    <x v="1"/>
    <m/>
    <m/>
    <s v="In"/>
    <m/>
    <n v="2"/>
    <n v="3"/>
    <n v="1"/>
    <m/>
    <n v="2"/>
    <m/>
    <n v="3"/>
    <m/>
    <n v="2.5"/>
  </r>
  <r>
    <x v="11"/>
    <s v="Integration"/>
    <s v="Service to validate the file format againt a defined schema"/>
    <x v="1"/>
    <m/>
    <m/>
    <s v="In"/>
    <m/>
    <n v="4"/>
    <n v="6"/>
    <n v="1"/>
    <m/>
    <n v="4"/>
    <m/>
    <n v="6"/>
    <m/>
    <n v="5"/>
  </r>
  <r>
    <x v="11"/>
    <s v="Integration"/>
    <s v="Service to interpret file and create the required nodes"/>
    <x v="1"/>
    <m/>
    <m/>
    <s v="In"/>
    <m/>
    <n v="6"/>
    <n v="9"/>
    <n v="1"/>
    <m/>
    <n v="6"/>
    <m/>
    <n v="9"/>
    <m/>
    <n v="7.5"/>
  </r>
  <r>
    <x v="11"/>
    <s v="Integration"/>
    <s v="Generation of report for issues during import"/>
    <x v="1"/>
    <m/>
    <m/>
    <s v="In"/>
    <m/>
    <n v="2"/>
    <n v="3"/>
    <n v="1"/>
    <m/>
    <n v="2"/>
    <m/>
    <n v="3"/>
    <m/>
    <n v="2.5"/>
  </r>
  <r>
    <x v="11"/>
    <s v="Integration"/>
    <s v="Create service to integrate SMART database with CQ5"/>
    <x v="2"/>
    <m/>
    <m/>
    <s v="Out"/>
    <m/>
    <n v="7"/>
    <n v="10"/>
    <n v="1"/>
    <n v="7"/>
    <s v=""/>
    <n v="10"/>
    <s v=""/>
    <m/>
    <s v=""/>
  </r>
  <r>
    <x v="11"/>
    <s v="Integration"/>
    <s v="Create integration procedure with Scene 7 for Video management"/>
    <x v="2"/>
    <s v="Only OOB integration with CMS"/>
    <m/>
    <s v="In"/>
    <m/>
    <n v="3"/>
    <n v="4"/>
    <n v="1"/>
    <m/>
    <n v="3"/>
    <m/>
    <n v="4"/>
    <m/>
    <n v="3.5"/>
  </r>
  <r>
    <x v="11"/>
    <s v="Integration"/>
    <s v="Create service to provide the content from DAM to DST"/>
    <x v="2"/>
    <m/>
    <m/>
    <s v="In"/>
    <m/>
    <n v="3"/>
    <n v="4"/>
    <n v="1"/>
    <m/>
    <n v="3"/>
    <m/>
    <n v="4"/>
    <m/>
    <n v="3.5"/>
  </r>
  <r>
    <x v="11"/>
    <s v="Integration"/>
    <s v="Create service to Integrate Salesforce methods"/>
    <x v="2"/>
    <s v="Integration of user interactions and leads tracking"/>
    <m/>
    <s v="In"/>
    <m/>
    <n v="8"/>
    <n v="12"/>
    <n v="1"/>
    <m/>
    <n v="8"/>
    <m/>
    <n v="12"/>
    <m/>
    <n v="10"/>
  </r>
  <r>
    <x v="11"/>
    <s v="Integration"/>
    <s v="Create service to integrate Morningstar data via REST API calls"/>
    <x v="2"/>
    <m/>
    <m/>
    <s v="In"/>
    <m/>
    <n v="2"/>
    <n v="3"/>
    <n v="1"/>
    <n v="2.625"/>
    <n v="2"/>
    <n v="4.375"/>
    <n v="3"/>
    <m/>
    <n v="2.5"/>
  </r>
  <r>
    <x v="11"/>
    <s v="Integration"/>
    <s v="Create service to integrate Morningstar data via iframe"/>
    <x v="2"/>
    <m/>
    <m/>
    <s v="In"/>
    <m/>
    <n v="2"/>
    <n v="3"/>
    <n v="1"/>
    <n v="2.625"/>
    <n v="2"/>
    <n v="4.375"/>
    <n v="3"/>
    <m/>
    <n v="2.5"/>
  </r>
  <r>
    <x v="11"/>
    <s v="Integration"/>
    <s v="Create service to integrate Morningstar data via SSO integration"/>
    <x v="2"/>
    <m/>
    <m/>
    <s v="In"/>
    <m/>
    <n v="3"/>
    <n v="5"/>
    <n v="1"/>
    <n v="2.625"/>
    <n v="3"/>
    <n v="4.375"/>
    <n v="5"/>
    <m/>
    <n v="4"/>
  </r>
  <r>
    <x v="11"/>
    <s v="Integration"/>
    <s v="Create Service to integrate Broadridge data"/>
    <x v="2"/>
    <m/>
    <m/>
    <s v="In"/>
    <m/>
    <m/>
    <m/>
    <n v="1"/>
    <m/>
    <s v=""/>
    <m/>
    <s v=""/>
    <m/>
    <s v=""/>
  </r>
  <r>
    <x v="11"/>
    <s v="Integration"/>
    <s v="Integrate apis from Broadridge to integrate documents in the system"/>
    <x v="2"/>
    <m/>
    <m/>
    <s v="In"/>
    <m/>
    <n v="5"/>
    <n v="8"/>
    <n v="1"/>
    <m/>
    <n v="5"/>
    <m/>
    <n v="8"/>
    <m/>
    <n v="6.5"/>
  </r>
  <r>
    <x v="11"/>
    <s v="Integration"/>
    <s v="Create Service to integrate LDAP data (User Profile)"/>
    <x v="2"/>
    <m/>
    <m/>
    <s v="In"/>
    <m/>
    <m/>
    <m/>
    <n v="1"/>
    <m/>
    <s v=""/>
    <m/>
    <s v=""/>
    <m/>
    <s v=""/>
  </r>
  <r>
    <x v="11"/>
    <s v="Integration"/>
    <s v="Integrate Authentication"/>
    <x v="2"/>
    <m/>
    <s v="1.4.3"/>
    <s v="In"/>
    <m/>
    <n v="4"/>
    <n v="6"/>
    <n v="1"/>
    <m/>
    <n v="4"/>
    <m/>
    <n v="6"/>
    <m/>
    <n v="5"/>
  </r>
  <r>
    <x v="11"/>
    <s v="Integration"/>
    <s v="Integrate Registration flow with LDAP"/>
    <x v="2"/>
    <m/>
    <m/>
    <s v="In"/>
    <m/>
    <n v="3"/>
    <n v="5"/>
    <n v="1"/>
    <m/>
    <n v="3"/>
    <m/>
    <n v="5"/>
    <m/>
    <n v="4"/>
  </r>
  <r>
    <x v="11"/>
    <s v="Integration"/>
    <s v="Integrate Fetching and updating user profile data"/>
    <x v="2"/>
    <m/>
    <m/>
    <s v="In"/>
    <m/>
    <n v="3"/>
    <n v="5"/>
    <n v="1"/>
    <m/>
    <n v="3"/>
    <m/>
    <n v="5"/>
    <m/>
    <n v="4"/>
  </r>
  <r>
    <x v="11"/>
    <s v="Integration"/>
    <s v="Integration with SSO for token verification"/>
    <x v="2"/>
    <m/>
    <m/>
    <s v="Out"/>
    <m/>
    <n v="6"/>
    <n v="8"/>
    <n v="1"/>
    <m/>
    <s v=""/>
    <m/>
    <s v=""/>
    <m/>
    <s v=""/>
  </r>
  <r>
    <x v="11"/>
    <s v="Integration"/>
    <s v="Create Service to integrate SourceOne data"/>
    <x v="2"/>
    <s v="Sending the emails to SourceOne for archiving"/>
    <m/>
    <s v="In"/>
    <m/>
    <n v="2"/>
    <n v="3"/>
    <n v="1"/>
    <m/>
    <n v="2"/>
    <m/>
    <n v="3"/>
    <m/>
    <n v="2.5"/>
  </r>
  <r>
    <x v="11"/>
    <s v="Integration"/>
    <s v="Create Service to integrate Prime data"/>
    <x v="2"/>
    <m/>
    <m/>
    <s v="In"/>
    <m/>
    <m/>
    <m/>
    <n v="1"/>
    <m/>
    <s v=""/>
    <m/>
    <s v=""/>
    <m/>
    <s v=""/>
  </r>
  <r>
    <x v="11"/>
    <s v="Integration"/>
    <s v="Integrate with APIs to do fund advisor validation if the registered user is a FINRA user already"/>
    <x v="2"/>
    <m/>
    <m/>
    <s v="In"/>
    <m/>
    <n v="4"/>
    <n v="7"/>
    <n v="1"/>
    <m/>
    <n v="4"/>
    <m/>
    <n v="7"/>
    <m/>
    <n v="5.5"/>
  </r>
  <r>
    <x v="11"/>
    <s v="Integration"/>
    <s v="Create service to integrate with HIFP Database"/>
    <x v="2"/>
    <m/>
    <m/>
    <s v="Out"/>
    <m/>
    <n v="5"/>
    <n v="8"/>
    <n v="1"/>
    <m/>
    <s v=""/>
    <m/>
    <s v=""/>
    <m/>
    <s v=""/>
  </r>
  <r>
    <x v="11"/>
    <s v="Integration"/>
    <s v="Create service to integrate with Custom Database"/>
    <x v="2"/>
    <m/>
    <m/>
    <s v="In"/>
    <m/>
    <n v="4"/>
    <n v="6"/>
    <n v="1"/>
    <m/>
    <n v="4"/>
    <m/>
    <n v="6"/>
    <m/>
    <n v="5"/>
  </r>
  <r>
    <x v="5"/>
    <s v="CMS Dev"/>
    <s v="Order System (Shopping Cart &amp; Checkout) for logged in user"/>
    <x v="2"/>
    <s v="Effort for integration of the shopping cart with the ordering system"/>
    <s v="1.6.4"/>
    <s v="In"/>
    <m/>
    <m/>
    <m/>
    <n v="1"/>
    <m/>
    <s v=""/>
    <m/>
    <s v=""/>
    <m/>
    <s v=""/>
  </r>
  <r>
    <x v="5"/>
    <s v="CMS Dev"/>
    <s v="Framework to interact with cart data"/>
    <x v="2"/>
    <m/>
    <s v="1.6.4.1"/>
    <s v="In"/>
    <m/>
    <n v="3"/>
    <n v="5"/>
    <n v="1"/>
    <n v="2.6875"/>
    <n v="3"/>
    <n v="4.5"/>
    <n v="5"/>
    <m/>
    <n v="4"/>
  </r>
  <r>
    <x v="5"/>
    <s v="CMS Dev"/>
    <s v="Add to Cart (Literature Ctr)"/>
    <x v="2"/>
    <s v="cart data to be persisted in custom database"/>
    <s v="1.6.4.1"/>
    <s v="In"/>
    <m/>
    <n v="1"/>
    <n v="2"/>
    <n v="1"/>
    <n v="2.6875"/>
    <n v="1"/>
    <n v="4.5"/>
    <n v="2"/>
    <m/>
    <n v="1.5"/>
  </r>
  <r>
    <x v="5"/>
    <s v="CMS Dev"/>
    <s v="View Shopping Cart Page"/>
    <x v="2"/>
    <m/>
    <s v="1.6.4.2"/>
    <s v="In"/>
    <m/>
    <n v="1"/>
    <n v="2"/>
    <n v="1"/>
    <m/>
    <n v="1"/>
    <m/>
    <n v="2"/>
    <m/>
    <n v="1.5"/>
  </r>
  <r>
    <x v="5"/>
    <s v="CMS Dev"/>
    <s v="Edit Shopping Cart Contents"/>
    <x v="2"/>
    <m/>
    <s v="1.6.4.3"/>
    <s v="In"/>
    <m/>
    <n v="1"/>
    <n v="2"/>
    <n v="1"/>
    <m/>
    <n v="1"/>
    <m/>
    <n v="2"/>
    <m/>
    <n v="1.5"/>
  </r>
  <r>
    <x v="5"/>
    <s v="CMS Dev"/>
    <s v="Order Review &amp; Shipping Page"/>
    <x v="2"/>
    <m/>
    <s v="1.6.4.4"/>
    <s v="In"/>
    <m/>
    <n v="1"/>
    <n v="2"/>
    <n v="1"/>
    <m/>
    <n v="1"/>
    <m/>
    <n v="2"/>
    <m/>
    <n v="1.5"/>
  </r>
  <r>
    <x v="5"/>
    <s v="CMS Dev"/>
    <s v="Confirmation Page"/>
    <x v="2"/>
    <m/>
    <s v="1.6.4.5"/>
    <s v="In"/>
    <m/>
    <n v="0.5"/>
    <n v="0.75"/>
    <n v="1"/>
    <n v="1.75"/>
    <n v="0.5"/>
    <n v="3.25"/>
    <n v="0.75"/>
    <m/>
    <n v="0.6"/>
  </r>
  <r>
    <x v="5"/>
    <s v="CMS Dev"/>
    <s v="Check Out Page"/>
    <x v="2"/>
    <m/>
    <s v="1.6.4.6"/>
    <s v="Out"/>
    <m/>
    <n v="2"/>
    <n v="3"/>
    <n v="1"/>
    <m/>
    <s v=""/>
    <m/>
    <s v=""/>
    <m/>
    <s v=""/>
  </r>
  <r>
    <x v="5"/>
    <s v="CMS Dev"/>
    <s v="Empty Cart Page"/>
    <x v="2"/>
    <m/>
    <s v="1.6.4.7"/>
    <s v="In"/>
    <m/>
    <n v="1"/>
    <n v="2"/>
    <n v="1"/>
    <m/>
    <n v="1"/>
    <m/>
    <n v="2"/>
    <m/>
    <n v="1.5"/>
  </r>
  <r>
    <x v="5"/>
    <s v="CMS Dev"/>
    <s v="Order System (Shopping Cart &amp; Checkout) for anonymous user"/>
    <x v="2"/>
    <s v="Effort for integration of the shopping cart with the ordering system - cart data to be persisted in user session\cookie"/>
    <s v="1.6.4"/>
    <s v="In"/>
    <m/>
    <m/>
    <m/>
    <n v="1"/>
    <m/>
    <s v=""/>
    <m/>
    <s v=""/>
    <m/>
    <s v=""/>
  </r>
  <r>
    <x v="5"/>
    <s v="CMS Dev"/>
    <s v="Framework to interact with cart data"/>
    <x v="2"/>
    <m/>
    <s v="1.6.4.1"/>
    <s v="In"/>
    <m/>
    <n v="3"/>
    <n v="5"/>
    <n v="1"/>
    <n v="2.6875"/>
    <n v="3"/>
    <n v="4.5"/>
    <n v="5"/>
    <m/>
    <n v="4"/>
  </r>
  <r>
    <x v="5"/>
    <s v="CMS Dev"/>
    <s v="Add to Cart (Literature Ctr)"/>
    <x v="2"/>
    <m/>
    <s v="1.6.4.1"/>
    <s v="In"/>
    <m/>
    <n v="1"/>
    <n v="2"/>
    <n v="1"/>
    <n v="2.6875"/>
    <n v="1"/>
    <n v="4.5"/>
    <n v="2"/>
    <m/>
    <n v="1.5"/>
  </r>
  <r>
    <x v="5"/>
    <s v="CMS Dev"/>
    <s v="View Shopping Cart Page"/>
    <x v="2"/>
    <m/>
    <s v="1.6.4.2"/>
    <s v="In"/>
    <m/>
    <n v="1"/>
    <n v="2"/>
    <n v="1"/>
    <m/>
    <n v="1"/>
    <m/>
    <n v="2"/>
    <m/>
    <n v="1.5"/>
  </r>
  <r>
    <x v="5"/>
    <s v="CMS Dev"/>
    <s v="Edit Shopping Cart Contents"/>
    <x v="2"/>
    <m/>
    <s v="1.6.4.3"/>
    <s v="In"/>
    <m/>
    <n v="1"/>
    <n v="2"/>
    <n v="1"/>
    <m/>
    <n v="1"/>
    <m/>
    <n v="2"/>
    <m/>
    <n v="1.5"/>
  </r>
  <r>
    <x v="5"/>
    <s v="CMS Dev"/>
    <s v="Order Review &amp; Shipping Page"/>
    <x v="2"/>
    <m/>
    <s v="1.6.4.4"/>
    <s v="In"/>
    <m/>
    <n v="1"/>
    <n v="2"/>
    <n v="1"/>
    <m/>
    <n v="1"/>
    <m/>
    <n v="2"/>
    <m/>
    <n v="1.5"/>
  </r>
  <r>
    <x v="5"/>
    <s v="CMS Dev"/>
    <s v="Confirmation Page"/>
    <x v="2"/>
    <m/>
    <s v="1.6.4.5"/>
    <s v="In"/>
    <m/>
    <n v="0.5"/>
    <n v="0.75"/>
    <n v="1"/>
    <n v="1.75"/>
    <n v="0.5"/>
    <n v="3.25"/>
    <n v="0.75"/>
    <m/>
    <n v="0.6"/>
  </r>
  <r>
    <x v="5"/>
    <s v="CMS Dev"/>
    <s v="Check Out Page"/>
    <x v="2"/>
    <m/>
    <s v="1.6.4.6"/>
    <s v="In"/>
    <m/>
    <n v="2"/>
    <n v="3"/>
    <n v="1"/>
    <m/>
    <n v="2"/>
    <m/>
    <n v="3"/>
    <m/>
    <n v="2.5"/>
  </r>
  <r>
    <x v="5"/>
    <s v="CMS Dev"/>
    <s v="Empty Cart Page"/>
    <x v="2"/>
    <m/>
    <s v="1.6.4.7"/>
    <s v="In"/>
    <m/>
    <n v="1"/>
    <n v="2"/>
    <n v="1"/>
    <m/>
    <n v="1"/>
    <m/>
    <n v="2"/>
    <m/>
    <n v="1.5"/>
  </r>
  <r>
    <x v="9"/>
    <s v="Integration"/>
    <s v="Testing of all integration points"/>
    <x v="2"/>
    <m/>
    <m/>
    <s v="In"/>
    <m/>
    <n v="30"/>
    <n v="40"/>
    <n v="1"/>
    <m/>
    <n v="30"/>
    <m/>
    <n v="40"/>
    <m/>
    <n v="35"/>
  </r>
  <r>
    <x v="11"/>
    <s v="Integration"/>
    <s v="Fixing of all issues related to integration"/>
    <x v="2"/>
    <m/>
    <m/>
    <s v="In"/>
    <m/>
    <n v="10"/>
    <n v="15"/>
    <n v="1"/>
    <m/>
    <n v="10"/>
    <m/>
    <n v="15"/>
    <m/>
    <n v="12.5"/>
  </r>
  <r>
    <x v="12"/>
    <s v="CMS Dev"/>
    <s v="Data migration"/>
    <x v="2"/>
    <m/>
    <m/>
    <s v="In"/>
    <m/>
    <m/>
    <m/>
    <n v="1"/>
    <m/>
    <s v=""/>
    <m/>
    <s v=""/>
    <m/>
    <s v=""/>
  </r>
  <r>
    <x v="12"/>
    <s v="CMS Dev"/>
    <s v="User data"/>
    <x v="2"/>
    <s v="Create scripts to migrate\create user data if any"/>
    <m/>
    <s v="In"/>
    <m/>
    <n v="5"/>
    <n v="8"/>
    <n v="1"/>
    <m/>
    <n v="5"/>
    <m/>
    <n v="8"/>
    <m/>
    <n v="6.5"/>
  </r>
  <r>
    <x v="12"/>
    <s v="CMS Dev"/>
    <s v="User data migration from Salesforce"/>
    <x v="2"/>
    <m/>
    <m/>
    <s v="In"/>
    <m/>
    <n v="5"/>
    <n v="8"/>
    <n v="1"/>
    <m/>
    <n v="5"/>
    <m/>
    <n v="8"/>
    <m/>
    <n v="6.5"/>
  </r>
  <r>
    <x v="12"/>
    <s v="CMS Dev"/>
    <s v="Migration of data from SMART Database"/>
    <x v="2"/>
    <m/>
    <m/>
    <s v="Out"/>
    <m/>
    <n v="5"/>
    <n v="7"/>
    <n v="1"/>
    <m/>
    <s v=""/>
    <m/>
    <s v=""/>
    <m/>
    <s v=""/>
  </r>
  <r>
    <x v="12"/>
    <s v="CMS Dev"/>
    <s v="Create scripts for Document Migration (from Synthesis to CMS)"/>
    <x v="2"/>
    <m/>
    <m/>
    <s v="In"/>
    <m/>
    <n v="8"/>
    <n v="12"/>
    <n v="1"/>
    <m/>
    <n v="8"/>
    <m/>
    <n v="12"/>
    <m/>
    <n v="10"/>
  </r>
  <r>
    <x v="12"/>
    <s v="CMS Dev"/>
    <s v="Document Migration"/>
    <x v="2"/>
    <m/>
    <m/>
    <s v="In"/>
    <m/>
    <n v="10"/>
    <n v="15"/>
    <n v="1"/>
    <m/>
    <n v="10"/>
    <m/>
    <n v="15"/>
    <m/>
    <n v="12.5"/>
  </r>
  <r>
    <x v="12"/>
    <s v="CMS Dev"/>
    <s v="Content Migration"/>
    <x v="2"/>
    <s v="Creation of pages with actual data for 130 pages"/>
    <m/>
    <s v="In"/>
    <m/>
    <n v="16.25"/>
    <n v="32.5"/>
    <n v="1"/>
    <m/>
    <n v="16.25"/>
    <m/>
    <n v="32.5"/>
    <m/>
    <n v="24.4"/>
  </r>
  <r>
    <x v="7"/>
    <s v="CMS Dev"/>
    <s v="Releases to integration environment"/>
    <x v="2"/>
    <s v="Considering 1 release per week for x weeks"/>
    <m/>
    <s v="In"/>
    <m/>
    <n v="0.125"/>
    <n v="0.125"/>
    <n v="62"/>
    <n v="0.25"/>
    <n v="7.75"/>
    <n v="0.5"/>
    <n v="7.75"/>
    <m/>
    <n v="7.8"/>
  </r>
  <r>
    <x v="7"/>
    <s v="CMS Dev"/>
    <s v="Releases toQA environment"/>
    <x v="2"/>
    <s v="Considering 1 release per week for x weeks"/>
    <m/>
    <s v="In"/>
    <m/>
    <n v="0.125"/>
    <n v="0.125"/>
    <n v="31"/>
    <n v="0.25"/>
    <n v="3.875"/>
    <n v="0.5"/>
    <n v="3.875"/>
    <m/>
    <n v="3.9"/>
  </r>
  <r>
    <x v="7"/>
    <s v="CMS Dev"/>
    <s v="Releases to Staging environment"/>
    <x v="2"/>
    <s v="Considering 1 release per week for x weeks"/>
    <m/>
    <s v="In"/>
    <m/>
    <n v="0.125"/>
    <n v="0.125"/>
    <n v="15"/>
    <n v="0.25"/>
    <n v="1.875"/>
    <n v="0.5"/>
    <n v="1.875"/>
    <m/>
    <n v="1.9"/>
  </r>
  <r>
    <x v="7"/>
    <s v="CMS Dev"/>
    <s v="Releases to Production environment"/>
    <x v="2"/>
    <s v="Considering 1 release per week for x weeks"/>
    <m/>
    <s v="In"/>
    <m/>
    <n v="0.125"/>
    <n v="0.125"/>
    <n v="15"/>
    <n v="0.25"/>
    <n v="1.875"/>
    <n v="0.5"/>
    <n v="1.875"/>
    <m/>
    <n v="1.9"/>
  </r>
  <r>
    <x v="5"/>
    <s v="CMS Dev"/>
    <s v="Content Entry Support"/>
    <x v="2"/>
    <m/>
    <m/>
    <s v="In"/>
    <m/>
    <n v="10"/>
    <n v="10"/>
    <n v="3"/>
    <m/>
    <n v="30"/>
    <m/>
    <n v="30"/>
    <m/>
    <n v="30"/>
  </r>
  <r>
    <x v="13"/>
    <s v="QA"/>
    <s v="System integration testing"/>
    <x v="2"/>
    <s v="Considering effort of 3 person for 6 weeks"/>
    <m/>
    <s v="In"/>
    <m/>
    <n v="30"/>
    <n v="30"/>
    <n v="3"/>
    <m/>
    <n v="90"/>
    <m/>
    <n v="90"/>
    <m/>
    <n v="90"/>
  </r>
  <r>
    <x v="13"/>
    <s v="CMS Dev"/>
    <s v="System integration testing - fixes"/>
    <x v="2"/>
    <s v="Considering effort of 6 person for 6 weeks"/>
    <m/>
    <s v="In"/>
    <m/>
    <n v="30"/>
    <n v="30"/>
    <n v="6"/>
    <m/>
    <n v="180"/>
    <m/>
    <n v="180"/>
    <m/>
    <n v="180"/>
  </r>
  <r>
    <x v="13"/>
    <s v="Site Dev"/>
    <s v="System integration testing - fixes - Site Dev"/>
    <x v="2"/>
    <s v="Considering effort of 1 person for 6 weeks"/>
    <m/>
    <s v="In"/>
    <m/>
    <n v="30"/>
    <n v="30"/>
    <n v="1"/>
    <m/>
    <n v="30"/>
    <m/>
    <n v="30"/>
    <m/>
    <n v="30"/>
  </r>
  <r>
    <x v="14"/>
    <s v="QA"/>
    <s v="UAT"/>
    <x v="2"/>
    <m/>
    <m/>
    <s v="In"/>
    <m/>
    <n v="15"/>
    <n v="15"/>
    <n v="3.5"/>
    <m/>
    <n v="52.5"/>
    <m/>
    <n v="52.5"/>
    <m/>
    <n v="52.5"/>
  </r>
  <r>
    <x v="14"/>
    <s v="CMS Dev"/>
    <s v="UAT fixes"/>
    <x v="2"/>
    <m/>
    <m/>
    <s v="In"/>
    <m/>
    <n v="20"/>
    <n v="20"/>
    <n v="8"/>
    <m/>
    <n v="160"/>
    <m/>
    <n v="160"/>
    <m/>
    <n v="160"/>
  </r>
  <r>
    <x v="14"/>
    <s v="Site Dev"/>
    <s v="UAT fixes - Site Dev"/>
    <x v="2"/>
    <m/>
    <m/>
    <s v="In"/>
    <m/>
    <n v="20"/>
    <n v="20"/>
    <n v="3"/>
    <m/>
    <n v="60"/>
    <m/>
    <n v="60"/>
    <m/>
    <n v="60"/>
  </r>
  <r>
    <x v="15"/>
    <s v="QA"/>
    <s v="Warranty support"/>
    <x v="2"/>
    <s v="Considering effort of 1 person for 12 weeks"/>
    <m/>
    <s v="In"/>
    <m/>
    <n v="20"/>
    <n v="20"/>
    <n v="1"/>
    <m/>
    <n v="20"/>
    <m/>
    <n v="20"/>
    <m/>
    <n v="20"/>
  </r>
  <r>
    <x v="15"/>
    <s v="CMS Dev"/>
    <s v="Warranty Sypport fixes"/>
    <x v="2"/>
    <s v="Considering effort of 6.5 person for 8"/>
    <m/>
    <s v="In"/>
    <m/>
    <n v="20"/>
    <n v="20"/>
    <n v="2"/>
    <m/>
    <n v="40"/>
    <m/>
    <n v="40"/>
    <m/>
    <n v="40"/>
  </r>
  <r>
    <x v="15"/>
    <s v="Site Dev"/>
    <s v="Warranty Support - Site Dev"/>
    <x v="2"/>
    <s v="Considering effort of 1 person for 12 weeks"/>
    <m/>
    <s v="In"/>
    <m/>
    <n v="20"/>
    <n v="20"/>
    <n v="1"/>
    <m/>
    <n v="20"/>
    <m/>
    <n v="20"/>
    <m/>
    <n v="20"/>
  </r>
  <r>
    <x v="15"/>
    <s v="CMS Dev"/>
    <s v="Warranty Sypport fixes"/>
    <x v="2"/>
    <s v="Considering effort of 4.5person after 8 weeks to 12th week"/>
    <m/>
    <s v="In"/>
    <m/>
    <n v="20"/>
    <n v="20"/>
    <n v="2.5"/>
    <m/>
    <n v="50"/>
    <m/>
    <n v="50"/>
    <m/>
    <n v="50"/>
  </r>
  <r>
    <x v="7"/>
    <s v="CMS Dev"/>
    <s v="Productionization Support + Cutover"/>
    <x v="2"/>
    <m/>
    <m/>
    <s v="In"/>
    <m/>
    <n v="10"/>
    <n v="14"/>
    <n v="7"/>
    <m/>
    <n v="70"/>
    <m/>
    <n v="98"/>
    <m/>
    <n v="84"/>
  </r>
  <r>
    <x v="16"/>
    <s v="CMS Dev"/>
    <s v="Create the training guide about the system for editors including guide for Scene7, sitecatalyst and CQ"/>
    <x v="2"/>
    <m/>
    <m/>
    <s v="In"/>
    <m/>
    <n v="30"/>
    <n v="40"/>
    <n v="1"/>
    <m/>
    <n v="30"/>
    <m/>
    <n v="40"/>
    <m/>
    <n v="35"/>
  </r>
  <r>
    <x v="16"/>
    <s v="CMS Dev"/>
    <s v="Deliver the trainging to editors"/>
    <x v="2"/>
    <m/>
    <m/>
    <s v="In"/>
    <m/>
    <n v="7"/>
    <n v="10"/>
    <n v="0"/>
    <m/>
    <n v="0"/>
    <m/>
    <n v="0"/>
    <m/>
    <n v="0"/>
  </r>
  <r>
    <x v="17"/>
    <s v="Content Strategist"/>
    <s v="Blocker effort for content strategist"/>
    <x v="1"/>
    <m/>
    <m/>
    <s v="In"/>
    <m/>
    <n v="20"/>
    <n v="20"/>
    <n v="1"/>
    <m/>
    <n v="20"/>
    <m/>
    <n v="20"/>
    <m/>
    <n v="20"/>
  </r>
  <r>
    <x v="18"/>
    <s v="Designer"/>
    <s v="Blocker effort for designer"/>
    <x v="1"/>
    <m/>
    <m/>
    <s v="In"/>
    <m/>
    <n v="10"/>
    <n v="10"/>
    <n v="1"/>
    <m/>
    <n v="10"/>
    <m/>
    <n v="10"/>
    <m/>
    <n v="10"/>
  </r>
  <r>
    <x v="18"/>
    <s v="Designer"/>
    <s v="Blocker effort for designer"/>
    <x v="2"/>
    <m/>
    <m/>
    <s v="In"/>
    <m/>
    <n v="10"/>
    <n v="20"/>
    <n v="1"/>
    <m/>
    <n v="10"/>
    <m/>
    <n v="20"/>
    <m/>
    <n v="15"/>
  </r>
  <r>
    <x v="19"/>
    <s v="IA"/>
    <s v="Blocker effort for IA"/>
    <x v="2"/>
    <m/>
    <m/>
    <s v="In"/>
    <m/>
    <n v="15"/>
    <n v="15"/>
    <n v="1"/>
    <m/>
    <n v="15"/>
    <m/>
    <n v="15"/>
    <m/>
    <n v="15"/>
  </r>
  <r>
    <x v="19"/>
    <s v="IA"/>
    <s v="Blocker effort for IA"/>
    <x v="1"/>
    <m/>
    <m/>
    <s v="In"/>
    <m/>
    <n v="7.5"/>
    <n v="7.5"/>
    <n v="2"/>
    <m/>
    <n v="15"/>
    <m/>
    <n v="15"/>
    <m/>
    <n v="15"/>
  </r>
  <r>
    <x v="20"/>
    <s v="Automation"/>
    <s v="Scimitar/QTP Setup (SW/HW)"/>
    <x v="1"/>
    <m/>
    <m/>
    <s v="In"/>
    <m/>
    <n v="1"/>
    <n v="1"/>
    <n v="1"/>
    <m/>
    <n v="1"/>
    <m/>
    <n v="1"/>
    <m/>
    <n v="1"/>
  </r>
  <r>
    <x v="20"/>
    <s v="Automation"/>
    <s v="Setup Access for HARTFORD FUNDS"/>
    <x v="1"/>
    <m/>
    <m/>
    <s v="In"/>
    <m/>
    <n v="2"/>
    <n v="2"/>
    <n v="1"/>
    <m/>
    <n v="2"/>
    <m/>
    <n v="2"/>
    <m/>
    <n v="2"/>
  </r>
  <r>
    <x v="20"/>
    <s v="Automation"/>
    <s v="Setup HARTFORD FUNDS Project"/>
    <x v="1"/>
    <m/>
    <m/>
    <s v="In"/>
    <m/>
    <n v="1"/>
    <n v="1"/>
    <n v="1"/>
    <m/>
    <n v="1"/>
    <m/>
    <n v="1"/>
    <m/>
    <n v="1"/>
  </r>
  <r>
    <x v="20"/>
    <s v="Automation"/>
    <s v="Training"/>
    <x v="1"/>
    <m/>
    <m/>
    <s v="In"/>
    <m/>
    <n v="5"/>
    <n v="5"/>
    <n v="1"/>
    <m/>
    <n v="5"/>
    <m/>
    <n v="5"/>
    <m/>
    <n v="5"/>
  </r>
  <r>
    <x v="20"/>
    <s v="Automation"/>
    <s v="Test Scenario Compilation"/>
    <x v="1"/>
    <m/>
    <m/>
    <s v="In"/>
    <m/>
    <n v="8"/>
    <n v="12"/>
    <n v="1"/>
    <m/>
    <n v="8"/>
    <m/>
    <n v="12"/>
    <m/>
    <n v="10"/>
  </r>
  <r>
    <x v="20"/>
    <s v="Automation"/>
    <s v="Test Scenario Reviews (Client or BA)"/>
    <x v="1"/>
    <m/>
    <m/>
    <s v="In"/>
    <m/>
    <n v="2"/>
    <n v="2"/>
    <n v="1"/>
    <m/>
    <n v="2"/>
    <m/>
    <n v="2"/>
    <m/>
    <n v="2"/>
  </r>
  <r>
    <x v="20"/>
    <s v="Automation"/>
    <s v="Setting Up Test Data"/>
    <x v="2"/>
    <m/>
    <m/>
    <s v="In"/>
    <m/>
    <n v="6"/>
    <n v="10"/>
    <n v="1"/>
    <m/>
    <n v="6"/>
    <m/>
    <n v="10"/>
    <m/>
    <n v="8"/>
  </r>
  <r>
    <x v="20"/>
    <s v="Automation"/>
    <s v="Create Status Reports and Reporting Structure"/>
    <x v="2"/>
    <m/>
    <m/>
    <s v="In"/>
    <m/>
    <n v="2"/>
    <n v="2"/>
    <n v="1"/>
    <m/>
    <n v="2"/>
    <m/>
    <n v="2"/>
    <m/>
    <n v="2"/>
  </r>
  <r>
    <x v="20"/>
    <s v="Automation"/>
    <s v="OR Creation"/>
    <x v="2"/>
    <m/>
    <m/>
    <s v="In"/>
    <m/>
    <n v="6"/>
    <n v="9"/>
    <n v="1"/>
    <m/>
    <n v="6"/>
    <m/>
    <n v="9"/>
    <m/>
    <n v="7.5"/>
  </r>
  <r>
    <x v="20"/>
    <s v="Automation"/>
    <s v="Test Case Creation"/>
    <x v="2"/>
    <m/>
    <m/>
    <s v="In"/>
    <m/>
    <n v="0.16250000000000001"/>
    <n v="0.24379999999999999"/>
    <n v="200"/>
    <m/>
    <n v="32.5"/>
    <m/>
    <n v="48.76"/>
    <m/>
    <n v="40.6"/>
  </r>
  <r>
    <x v="20"/>
    <s v="Automation"/>
    <s v="Test Case Creation"/>
    <x v="2"/>
    <m/>
    <m/>
    <s v="In"/>
    <m/>
    <n v="0.16250000000000001"/>
    <n v="0.24379999999999999"/>
    <n v="100"/>
    <m/>
    <n v="16.25"/>
    <m/>
    <n v="24.38"/>
    <m/>
    <n v="20.3"/>
  </r>
  <r>
    <x v="20"/>
    <s v="Automation"/>
    <s v="Test Case Creation"/>
    <x v="2"/>
    <m/>
    <m/>
    <s v="In"/>
    <m/>
    <n v="0.30630000000000002"/>
    <n v="0.45939999999999998"/>
    <n v="50"/>
    <m/>
    <n v="15.315000000000001"/>
    <m/>
    <n v="22.97"/>
    <m/>
    <n v="19.100000000000001"/>
  </r>
  <r>
    <x v="20"/>
    <s v="Automation"/>
    <s v="Test Case Review and Modification"/>
    <x v="2"/>
    <m/>
    <m/>
    <s v="In"/>
    <m/>
    <n v="3.1300000000000001E-2"/>
    <n v="6.25E-2"/>
    <n v="350"/>
    <m/>
    <n v="10.955"/>
    <m/>
    <n v="21.875"/>
    <m/>
    <n v="16.399999999999999"/>
  </r>
  <r>
    <x v="20"/>
    <s v="Automation"/>
    <s v="Network Setup"/>
    <x v="2"/>
    <m/>
    <m/>
    <s v="In"/>
    <m/>
    <n v="3"/>
    <n v="3"/>
    <n v="1"/>
    <m/>
    <n v="3"/>
    <m/>
    <n v="3"/>
    <m/>
    <n v="3"/>
  </r>
  <r>
    <x v="20"/>
    <s v="Automation"/>
    <s v="Testing the Full Autotion Test Bed &amp; Adjustments"/>
    <x v="2"/>
    <m/>
    <m/>
    <s v="In"/>
    <m/>
    <n v="6.3E-3"/>
    <n v="9.4000000000000004E-3"/>
    <n v="900"/>
    <m/>
    <n v="5.67"/>
    <m/>
    <n v="8.4600000000000009"/>
    <m/>
    <n v="7.1"/>
  </r>
  <r>
    <x v="20"/>
    <s v="Automation"/>
    <s v="Testing the Full Autotion Test Bed &amp; Adjustments"/>
    <x v="2"/>
    <m/>
    <m/>
    <s v="In"/>
    <m/>
    <n v="6.3E-3"/>
    <n v="9.4000000000000004E-3"/>
    <n v="450"/>
    <m/>
    <n v="2.835"/>
    <m/>
    <n v="4.2300000000000004"/>
    <m/>
    <n v="3.5"/>
  </r>
  <r>
    <x v="20"/>
    <s v="Automation"/>
    <s v="Testing the Full Autotion Test Bed &amp; Adjustments"/>
    <x v="2"/>
    <m/>
    <m/>
    <s v="In"/>
    <m/>
    <n v="1.2500000000000001E-2"/>
    <n v="1.8800000000000001E-2"/>
    <n v="300"/>
    <m/>
    <n v="3.75"/>
    <m/>
    <n v="5.6400000000000006"/>
    <m/>
    <n v="4.7"/>
  </r>
  <r>
    <x v="20"/>
    <s v="Automation"/>
    <s v="Test Script Execution Reports"/>
    <x v="2"/>
    <m/>
    <m/>
    <s v="In"/>
    <m/>
    <n v="2"/>
    <n v="2"/>
    <n v="3"/>
    <m/>
    <n v="6"/>
    <m/>
    <n v="6"/>
    <m/>
    <n v="6"/>
  </r>
  <r>
    <x v="7"/>
    <s v="ISST"/>
    <s v="Platform Design "/>
    <x v="2"/>
    <m/>
    <m/>
    <s v="Out"/>
    <m/>
    <n v="4"/>
    <n v="6.25"/>
    <n v="1"/>
    <m/>
    <s v=""/>
    <m/>
    <s v=""/>
    <m/>
    <s v=""/>
  </r>
  <r>
    <x v="7"/>
    <s v="ISST"/>
    <s v="Platform Setup -SystemTest Environments"/>
    <x v="2"/>
    <m/>
    <m/>
    <s v="Out"/>
    <m/>
    <n v="9.35"/>
    <n v="15.15"/>
    <n v="1"/>
    <m/>
    <s v=""/>
    <m/>
    <s v=""/>
    <m/>
    <s v=""/>
  </r>
  <r>
    <x v="7"/>
    <s v="ISST"/>
    <s v="Platform Setup - Production Environment"/>
    <x v="2"/>
    <m/>
    <m/>
    <s v="Out"/>
    <m/>
    <n v="9.85"/>
    <n v="15.4"/>
    <n v="1"/>
    <m/>
    <s v=""/>
    <m/>
    <s v=""/>
    <m/>
    <s v=""/>
  </r>
  <r>
    <x v="7"/>
    <s v="ISST"/>
    <s v="Network Implementation"/>
    <x v="2"/>
    <m/>
    <m/>
    <s v="Out"/>
    <m/>
    <n v="8.25"/>
    <n v="12.6"/>
    <n v="1"/>
    <m/>
    <s v=""/>
    <m/>
    <s v=""/>
    <m/>
    <s v=""/>
  </r>
  <r>
    <x v="7"/>
    <s v="ISST"/>
    <s v="Platform Setup - DR Site"/>
    <x v="2"/>
    <m/>
    <m/>
    <s v="Out"/>
    <m/>
    <n v="10.1"/>
    <n v="13.85"/>
    <n v="1"/>
    <m/>
    <s v=""/>
    <m/>
    <s v=""/>
    <m/>
    <s v=""/>
  </r>
  <r>
    <x v="7"/>
    <s v="ISST"/>
    <s v="Runbook and Operational documentation creation"/>
    <x v="2"/>
    <m/>
    <m/>
    <s v="Out"/>
    <m/>
    <n v="10.6"/>
    <n v="16.399999999999999"/>
    <n v="1"/>
    <m/>
    <s v=""/>
    <m/>
    <s v=""/>
    <m/>
    <s v=""/>
  </r>
  <r>
    <x v="7"/>
    <s v="ISST"/>
    <s v="Operating System Administration"/>
    <x v="2"/>
    <m/>
    <m/>
    <s v="Out"/>
    <m/>
    <n v="9.9"/>
    <n v="13.55"/>
    <n v="1"/>
    <m/>
    <s v=""/>
    <m/>
    <s v=""/>
    <m/>
    <s v=""/>
  </r>
  <r>
    <x v="7"/>
    <s v="ISST"/>
    <s v="CMS and other COTS Administration"/>
    <x v="2"/>
    <m/>
    <m/>
    <s v="Out"/>
    <m/>
    <n v="0.75"/>
    <n v="1.1000000000000001"/>
    <n v="1"/>
    <m/>
    <s v=""/>
    <m/>
    <s v=""/>
    <m/>
    <s v=""/>
  </r>
  <r>
    <x v="7"/>
    <s v="ISST"/>
    <s v="Database Administration"/>
    <x v="2"/>
    <m/>
    <m/>
    <s v="Out"/>
    <m/>
    <n v="6.25"/>
    <n v="7.5"/>
    <n v="1"/>
    <m/>
    <s v=""/>
    <m/>
    <s v=""/>
    <m/>
    <s v=""/>
  </r>
  <r>
    <x v="7"/>
    <s v="ISST"/>
    <s v="Incident Management"/>
    <x v="2"/>
    <m/>
    <m/>
    <s v="Out"/>
    <m/>
    <n v="2.5"/>
    <n v="3.75"/>
    <n v="1"/>
    <m/>
    <s v=""/>
    <m/>
    <s v=""/>
    <m/>
    <s v=""/>
  </r>
  <r>
    <x v="7"/>
    <s v="ISST"/>
    <s v="Change &amp; Configuration Management"/>
    <x v="2"/>
    <m/>
    <m/>
    <s v="Out"/>
    <m/>
    <n v="2.25"/>
    <n v="3.5"/>
    <n v="1"/>
    <m/>
    <s v=""/>
    <m/>
    <s v=""/>
    <m/>
    <s v=""/>
  </r>
  <r>
    <x v="7"/>
    <s v="ISST"/>
    <s v="Backup &amp; Restore Administration"/>
    <x v="2"/>
    <m/>
    <m/>
    <s v="Out"/>
    <m/>
    <n v="1.2"/>
    <n v="2.25"/>
    <n v="1"/>
    <m/>
    <s v=""/>
    <m/>
    <s v=""/>
    <m/>
    <s v=""/>
  </r>
  <r>
    <x v="7"/>
    <s v="ISST"/>
    <s v="DR Administration"/>
    <x v="2"/>
    <m/>
    <m/>
    <s v="Out"/>
    <m/>
    <n v="4.6500000000000004"/>
    <n v="5.9"/>
    <n v="1"/>
    <m/>
    <s v=""/>
    <m/>
    <s v=""/>
    <m/>
    <s v=""/>
  </r>
  <r>
    <x v="7"/>
    <s v="ISST"/>
    <s v="System Monitoring"/>
    <x v="2"/>
    <m/>
    <m/>
    <s v="Out"/>
    <m/>
    <n v="2"/>
    <n v="3"/>
    <n v="1"/>
    <m/>
    <s v=""/>
    <m/>
    <s v=""/>
    <m/>
    <s v=""/>
  </r>
  <r>
    <x v="7"/>
    <s v="ISST"/>
    <s v="SLA &amp; Performance Reporting"/>
    <x v="2"/>
    <m/>
    <m/>
    <s v="Out"/>
    <m/>
    <n v="2.25"/>
    <n v="3.75"/>
    <n v="1"/>
    <m/>
    <s v=""/>
    <m/>
    <s v=""/>
    <m/>
    <s v=""/>
  </r>
  <r>
    <x v="7"/>
    <s v="ISST"/>
    <s v="Capacity Administration"/>
    <x v="2"/>
    <m/>
    <m/>
    <s v="Out"/>
    <m/>
    <n v="3"/>
    <n v="5"/>
    <n v="1"/>
    <m/>
    <s v=""/>
    <m/>
    <s v=""/>
    <m/>
    <s v=""/>
  </r>
  <r>
    <x v="7"/>
    <s v="ISST"/>
    <s v="Release Management"/>
    <x v="2"/>
    <m/>
    <m/>
    <s v="Out"/>
    <m/>
    <n v="2"/>
    <n v="3"/>
    <n v="1"/>
    <m/>
    <s v=""/>
    <m/>
    <s v=""/>
    <m/>
    <s v=""/>
  </r>
  <r>
    <x v="7"/>
    <s v="ISST"/>
    <s v="CDN Monitoring &amp; Administration"/>
    <x v="2"/>
    <m/>
    <m/>
    <s v="Out"/>
    <m/>
    <n v="1.5"/>
    <n v="2.25"/>
    <n v="1"/>
    <m/>
    <s v=""/>
    <m/>
    <s v=""/>
    <m/>
    <s v=""/>
  </r>
  <r>
    <x v="7"/>
    <s v="ISST"/>
    <s v="Network Monitoring &amp; Administration"/>
    <x v="2"/>
    <m/>
    <m/>
    <s v="Out"/>
    <m/>
    <n v="1.5"/>
    <n v="3.05"/>
    <n v="1"/>
    <m/>
    <s v=""/>
    <m/>
    <s v=""/>
    <m/>
    <s v=""/>
  </r>
  <r>
    <x v="5"/>
    <s v="CMS Dev"/>
    <s v="Kick-Off/RetroSpective/Client Demo - EAR"/>
    <x v="1"/>
    <m/>
    <m/>
    <s v="In"/>
    <m/>
    <n v="1.5"/>
    <n v="2"/>
    <n v="20"/>
    <m/>
    <n v="30"/>
    <m/>
    <n v="40"/>
    <m/>
    <n v="35"/>
  </r>
  <r>
    <x v="5"/>
    <s v="CMS Dev"/>
    <s v="Kick-Off/RetroSpective/Client Demo - Implementation"/>
    <x v="2"/>
    <m/>
    <m/>
    <s v="In"/>
    <m/>
    <n v="1.5"/>
    <n v="2"/>
    <n v="50"/>
    <m/>
    <n v="75"/>
    <m/>
    <n v="100"/>
    <m/>
    <n v="87.5"/>
  </r>
  <r>
    <x v="5"/>
    <s v="CMS Dev"/>
    <s v="Network Diagram"/>
    <x v="1"/>
    <m/>
    <m/>
    <s v="Out"/>
    <m/>
    <n v="2"/>
    <n v="2"/>
    <n v="10"/>
    <m/>
    <s v=""/>
    <m/>
    <s v=""/>
    <m/>
    <s v=""/>
  </r>
  <r>
    <x v="0"/>
    <m/>
    <m/>
    <x v="0"/>
    <m/>
    <m/>
    <s v="In"/>
    <m/>
    <m/>
    <m/>
    <n v="1"/>
    <m/>
    <s v=""/>
    <m/>
    <s v=""/>
    <m/>
    <s v=""/>
  </r>
  <r>
    <x v="5"/>
    <s v="CMS Dev"/>
    <s v="WORM Compliance Design"/>
    <x v="1"/>
    <m/>
    <m/>
    <s v="In"/>
    <m/>
    <n v="3"/>
    <n v="3"/>
    <n v="1"/>
    <m/>
    <n v="3"/>
    <m/>
    <n v="3"/>
    <m/>
    <n v="3"/>
  </r>
  <r>
    <x v="5"/>
    <s v="CMS Dev"/>
    <s v="WORM Compliance Implementation &amp; Testing"/>
    <x v="2"/>
    <m/>
    <m/>
    <s v="In"/>
    <m/>
    <n v="4"/>
    <n v="6"/>
    <n v="1"/>
    <m/>
    <n v="4"/>
    <m/>
    <n v="6"/>
    <m/>
    <n v="5"/>
  </r>
  <r>
    <x v="5"/>
    <s v="CMS Dev"/>
    <s v="DST Vision Design"/>
    <x v="1"/>
    <m/>
    <m/>
    <s v="In"/>
    <m/>
    <n v="2"/>
    <n v="2"/>
    <n v="1"/>
    <m/>
    <n v="2"/>
    <m/>
    <n v="2"/>
    <m/>
    <n v="2"/>
  </r>
  <r>
    <x v="5"/>
    <s v="CMS Dev"/>
    <s v="DST Vision Implementation"/>
    <x v="2"/>
    <m/>
    <m/>
    <s v="In"/>
    <m/>
    <n v="3"/>
    <n v="5"/>
    <n v="1"/>
    <m/>
    <n v="3"/>
    <m/>
    <n v="5"/>
    <m/>
    <n v="4"/>
  </r>
  <r>
    <x v="5"/>
    <s v="CMS Dev"/>
    <s v="Edward Jones Design"/>
    <x v="1"/>
    <m/>
    <m/>
    <s v="In"/>
    <m/>
    <n v="2"/>
    <n v="2"/>
    <n v="1"/>
    <m/>
    <n v="2"/>
    <m/>
    <n v="2"/>
    <m/>
    <n v="2"/>
  </r>
  <r>
    <x v="5"/>
    <s v="CMS Dev"/>
    <s v="Edward Jones Integration Implementation"/>
    <x v="2"/>
    <m/>
    <m/>
    <s v="In"/>
    <m/>
    <n v="3"/>
    <n v="5"/>
    <n v="1"/>
    <m/>
    <n v="3"/>
    <m/>
    <n v="5"/>
    <m/>
    <n v="4"/>
  </r>
  <r>
    <x v="0"/>
    <m/>
    <m/>
    <x v="0"/>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 cacheId="0" applyNumberFormats="0" applyBorderFormats="0" applyFontFormats="0" applyPatternFormats="0" applyAlignmentFormats="0" applyWidthHeightFormats="1" dataCaption="Values" updatedVersion="3" minRefreshableVersion="3" useAutoFormatting="1" itemPrintTitles="1" createdVersion="4" indent="0" outline="1" outlineData="1" multipleFieldFilters="0">
  <location ref="A3:E26" firstHeaderRow="1" firstDataRow="2" firstDataCol="1"/>
  <pivotFields count="17">
    <pivotField axis="axisRow" showAll="0">
      <items count="39">
        <item x="18"/>
        <item x="19"/>
        <item x="17"/>
        <item x="1"/>
        <item x="3"/>
        <item x="2"/>
        <item x="6"/>
        <item x="4"/>
        <item x="11"/>
        <item x="5"/>
        <item x="8"/>
        <item x="12"/>
        <item x="9"/>
        <item x="20"/>
        <item x="7"/>
        <item x="16"/>
        <item x="10"/>
        <item x="13"/>
        <item x="14"/>
        <item x="15"/>
        <item m="1" x="37"/>
        <item m="1" x="23"/>
        <item m="1" x="36"/>
        <item m="1" x="21"/>
        <item m="1" x="22"/>
        <item m="1" x="31"/>
        <item m="1" x="35"/>
        <item m="1" x="33"/>
        <item m="1" x="30"/>
        <item m="1" x="25"/>
        <item m="1" x="28"/>
        <item m="1" x="34"/>
        <item m="1" x="24"/>
        <item x="0"/>
        <item m="1" x="32"/>
        <item m="1" x="26"/>
        <item m="1" x="27"/>
        <item m="1" x="29"/>
        <item t="default"/>
      </items>
    </pivotField>
    <pivotField showAll="0"/>
    <pivotField showAll="0"/>
    <pivotField axis="axisCol"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22">
    <i>
      <x/>
    </i>
    <i>
      <x v="1"/>
    </i>
    <i>
      <x v="2"/>
    </i>
    <i>
      <x v="3"/>
    </i>
    <i>
      <x v="4"/>
    </i>
    <i>
      <x v="5"/>
    </i>
    <i>
      <x v="6"/>
    </i>
    <i>
      <x v="7"/>
    </i>
    <i>
      <x v="8"/>
    </i>
    <i>
      <x v="9"/>
    </i>
    <i>
      <x v="10"/>
    </i>
    <i>
      <x v="11"/>
    </i>
    <i>
      <x v="12"/>
    </i>
    <i>
      <x v="13"/>
    </i>
    <i>
      <x v="14"/>
    </i>
    <i>
      <x v="15"/>
    </i>
    <i>
      <x v="16"/>
    </i>
    <i>
      <x v="17"/>
    </i>
    <i>
      <x v="18"/>
    </i>
    <i>
      <x v="19"/>
    </i>
    <i>
      <x v="33"/>
    </i>
    <i t="grand">
      <x/>
    </i>
  </rowItems>
  <colFields count="1">
    <field x="3"/>
  </colFields>
  <colItems count="4">
    <i>
      <x/>
    </i>
    <i>
      <x v="1"/>
    </i>
    <i>
      <x v="2"/>
    </i>
    <i t="grand">
      <x/>
    </i>
  </colItems>
  <dataFields count="1">
    <dataField name="Sum of Buffered" fld="16" baseField="3" baseItem="0"/>
  </dataFields>
  <formats count="5">
    <format dxfId="19">
      <pivotArea dataOnly="0" labelOnly="1" fieldPosition="0">
        <references count="1">
          <reference field="0" count="3">
            <x v="14"/>
            <x v="15"/>
            <x v="19"/>
          </reference>
        </references>
      </pivotArea>
    </format>
    <format dxfId="18">
      <pivotArea dataOnly="0" labelOnly="1" fieldPosition="0">
        <references count="1">
          <reference field="0" count="1">
            <x v="18"/>
          </reference>
        </references>
      </pivotArea>
    </format>
    <format dxfId="17">
      <pivotArea dataOnly="0" labelOnly="1" fieldPosition="0">
        <references count="1">
          <reference field="0" count="1">
            <x v="17"/>
          </reference>
        </references>
      </pivotArea>
    </format>
    <format dxfId="16">
      <pivotArea dataOnly="0" labelOnly="1" fieldPosition="0">
        <references count="1">
          <reference field="0" count="1">
            <x v="12"/>
          </reference>
        </references>
      </pivotArea>
    </format>
    <format dxfId="15">
      <pivotArea dataOnly="0" labelOnly="1" fieldPosition="0">
        <references count="1">
          <reference field="0" count="1">
            <x v="13"/>
          </reference>
        </references>
      </pivotArea>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1:G10"/>
  <sheetViews>
    <sheetView showGridLines="0" workbookViewId="0">
      <selection activeCell="B6" sqref="B6"/>
    </sheetView>
  </sheetViews>
  <sheetFormatPr defaultRowHeight="15.5"/>
  <cols>
    <col min="1" max="1" width="1.83203125" customWidth="1"/>
    <col min="2" max="2" width="25" customWidth="1"/>
    <col min="3" max="3" width="93.75" customWidth="1"/>
    <col min="4" max="4" width="1.83203125" customWidth="1"/>
    <col min="6" max="6" width="0" hidden="1" customWidth="1"/>
  </cols>
  <sheetData>
    <row r="1" spans="2:7" ht="11.25" customHeight="1"/>
    <row r="2" spans="2:7" ht="22.5" customHeight="1">
      <c r="C2" s="1" t="s">
        <v>0</v>
      </c>
    </row>
    <row r="3" spans="2:7" ht="22.5" customHeight="1">
      <c r="C3" s="12" t="str">
        <f>CONCATENATE("S|A - Estimation Tool v", tool_version_check)</f>
        <v>S|A - Estimation Tool v4.04</v>
      </c>
    </row>
    <row r="4" spans="2:7" ht="11.25" customHeight="1"/>
    <row r="5" spans="2:7" ht="52">
      <c r="B5" s="2" t="s">
        <v>1</v>
      </c>
      <c r="C5" s="26" t="s">
        <v>2</v>
      </c>
      <c r="G5" t="str">
        <f>TEXT(,"")</f>
        <v/>
      </c>
    </row>
    <row r="6" spans="2:7" ht="194.25" customHeight="1">
      <c r="B6" s="3" t="s">
        <v>3</v>
      </c>
      <c r="C6" s="25" t="s">
        <v>4</v>
      </c>
    </row>
    <row r="7" spans="2:7" ht="208">
      <c r="B7" s="3" t="s">
        <v>5</v>
      </c>
      <c r="C7" s="25" t="s">
        <v>6</v>
      </c>
    </row>
    <row r="8" spans="2:7" ht="65">
      <c r="B8" s="3" t="s">
        <v>7</v>
      </c>
      <c r="C8" s="25" t="s">
        <v>8</v>
      </c>
    </row>
    <row r="9" spans="2:7" ht="39">
      <c r="B9" s="4" t="s">
        <v>9</v>
      </c>
      <c r="C9" s="27" t="s">
        <v>10</v>
      </c>
    </row>
    <row r="10" spans="2:7" ht="11.25" customHeight="1"/>
  </sheetData>
  <dataConsolidate/>
  <pageMargins left="0.39370078740157483" right="0.39370078740157483" top="0.59055118110236227" bottom="0.59055118110236227" header="0.19685039370078741" footer="0.19685039370078741"/>
  <pageSetup scale="77"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B1:C40"/>
  <sheetViews>
    <sheetView showGridLines="0" topLeftCell="A28" workbookViewId="0">
      <selection activeCell="C40" sqref="C40"/>
    </sheetView>
  </sheetViews>
  <sheetFormatPr defaultRowHeight="15.5"/>
  <cols>
    <col min="1" max="1" width="1.83203125" customWidth="1"/>
    <col min="2" max="2" width="25" customWidth="1"/>
    <col min="3" max="3" width="50" customWidth="1"/>
    <col min="4" max="4" width="1.83203125" customWidth="1"/>
  </cols>
  <sheetData>
    <row r="1" spans="2:3" ht="11.25" customHeight="1"/>
    <row r="2" spans="2:3" ht="22.5" customHeight="1">
      <c r="C2" s="1" t="s">
        <v>11</v>
      </c>
    </row>
    <row r="3" spans="2:3" ht="22.5" customHeight="1">
      <c r="C3" s="12" t="str">
        <f>CONCATENATE(project_name, " | ", IF(LEN(project_phase)&gt;0,project_phase &amp; " ",""),"Estimation")</f>
        <v>Publicis Sapient / Online POS System | Ongoing Releases Estimation</v>
      </c>
    </row>
    <row r="4" spans="2:3" ht="11.25" customHeight="1"/>
    <row r="5" spans="2:3">
      <c r="B5" t="s">
        <v>12</v>
      </c>
    </row>
    <row r="6" spans="2:3" ht="11.25" customHeight="1"/>
    <row r="7" spans="2:3" ht="15.75" customHeight="1">
      <c r="B7" s="6" t="s">
        <v>13</v>
      </c>
      <c r="C7" s="7" t="s">
        <v>1734</v>
      </c>
    </row>
    <row r="8" spans="2:3" ht="15.75" customHeight="1">
      <c r="B8" s="8" t="s">
        <v>14</v>
      </c>
      <c r="C8" s="479" t="s">
        <v>1829</v>
      </c>
    </row>
    <row r="9" spans="2:3" ht="15.75" customHeight="1">
      <c r="B9" s="8" t="s">
        <v>15</v>
      </c>
      <c r="C9" s="9" t="s">
        <v>16</v>
      </c>
    </row>
    <row r="10" spans="2:3" ht="15.75" customHeight="1">
      <c r="B10" s="8" t="s">
        <v>17</v>
      </c>
      <c r="C10" s="9" t="s">
        <v>1714</v>
      </c>
    </row>
    <row r="11" spans="2:3" ht="15.75" customHeight="1">
      <c r="B11" s="10" t="s">
        <v>18</v>
      </c>
      <c r="C11" s="11" t="s">
        <v>19</v>
      </c>
    </row>
    <row r="13" spans="2:3">
      <c r="C13" t="s">
        <v>20</v>
      </c>
    </row>
    <row r="14" spans="2:3">
      <c r="B14" s="315" t="s">
        <v>21</v>
      </c>
      <c r="C14" s="316" t="s">
        <v>22</v>
      </c>
    </row>
    <row r="15" spans="2:3">
      <c r="C15" s="13" t="s">
        <v>1721</v>
      </c>
    </row>
    <row r="16" spans="2:3">
      <c r="C16" s="13" t="s">
        <v>1715</v>
      </c>
    </row>
    <row r="17" spans="3:3">
      <c r="C17" s="13" t="s">
        <v>1716</v>
      </c>
    </row>
    <row r="18" spans="3:3">
      <c r="C18" s="13" t="s">
        <v>1717</v>
      </c>
    </row>
    <row r="19" spans="3:3">
      <c r="C19" s="13" t="s">
        <v>1718</v>
      </c>
    </row>
    <row r="20" spans="3:3">
      <c r="C20" s="13" t="s">
        <v>1719</v>
      </c>
    </row>
    <row r="21" spans="3:3">
      <c r="C21" s="13" t="s">
        <v>1760</v>
      </c>
    </row>
    <row r="22" spans="3:3">
      <c r="C22" s="13" t="s">
        <v>1807</v>
      </c>
    </row>
    <row r="23" spans="3:3">
      <c r="C23" s="13" t="s">
        <v>1808</v>
      </c>
    </row>
    <row r="24" spans="3:3">
      <c r="C24" s="13" t="s">
        <v>1809</v>
      </c>
    </row>
    <row r="25" spans="3:3">
      <c r="C25" s="13" t="s">
        <v>1720</v>
      </c>
    </row>
    <row r="26" spans="3:3">
      <c r="C26" s="13" t="s">
        <v>1722</v>
      </c>
    </row>
    <row r="27" spans="3:3">
      <c r="C27" s="13" t="s">
        <v>1723</v>
      </c>
    </row>
    <row r="28" spans="3:3">
      <c r="C28" s="13" t="s">
        <v>1724</v>
      </c>
    </row>
    <row r="29" spans="3:3">
      <c r="C29" s="13" t="s">
        <v>1806</v>
      </c>
    </row>
    <row r="30" spans="3:3">
      <c r="C30" s="13" t="s">
        <v>1725</v>
      </c>
    </row>
    <row r="31" spans="3:3">
      <c r="C31" s="13" t="s">
        <v>1810</v>
      </c>
    </row>
    <row r="32" spans="3:3">
      <c r="C32" s="13" t="s">
        <v>1726</v>
      </c>
    </row>
    <row r="33" spans="3:3">
      <c r="C33" s="13" t="s">
        <v>1727</v>
      </c>
    </row>
    <row r="34" spans="3:3">
      <c r="C34" s="13" t="s">
        <v>1772</v>
      </c>
    </row>
    <row r="35" spans="3:3">
      <c r="C35" s="13" t="s">
        <v>1771</v>
      </c>
    </row>
    <row r="36" spans="3:3">
      <c r="C36" s="13" t="s">
        <v>1812</v>
      </c>
    </row>
    <row r="37" spans="3:3">
      <c r="C37" s="13" t="s">
        <v>1728</v>
      </c>
    </row>
    <row r="38" spans="3:3" ht="11.25" customHeight="1">
      <c r="C38" s="445" t="s">
        <v>1813</v>
      </c>
    </row>
    <row r="39" spans="3:3">
      <c r="C39" s="445" t="s">
        <v>1814</v>
      </c>
    </row>
    <row r="40" spans="3:3">
      <c r="C40" s="445" t="s">
        <v>1830</v>
      </c>
    </row>
  </sheetData>
  <dataConsolidate/>
  <dataValidations count="2">
    <dataValidation type="list" allowBlank="1" showInputMessage="1" showErrorMessage="1" sqref="C11" xr:uid="{00000000-0002-0000-0100-000000000000}">
      <formula1>list_delivery_types</formula1>
    </dataValidation>
    <dataValidation type="list" allowBlank="1" showInputMessage="1" showErrorMessage="1" sqref="C9" xr:uid="{00000000-0002-0000-0100-000001000000}">
      <formula1>list_sa_phases</formula1>
    </dataValidation>
  </dataValidations>
  <pageMargins left="0.39370078740157483" right="0.39370078740157483" top="0.59055118110236227" bottom="0.59055118110236227" header="0.19685039370078741" footer="0.19685039370078741"/>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B1:L1049"/>
  <sheetViews>
    <sheetView showGridLines="0" topLeftCell="A1033" zoomScaleNormal="100" workbookViewId="0">
      <selection activeCell="C1037" sqref="C1037"/>
    </sheetView>
  </sheetViews>
  <sheetFormatPr defaultRowHeight="15.5" outlineLevelRow="1"/>
  <cols>
    <col min="1" max="1" width="1.83203125" customWidth="1"/>
    <col min="2" max="2" width="7.5" customWidth="1"/>
    <col min="3" max="3" width="28" customWidth="1"/>
    <col min="4" max="4" width="13.75" customWidth="1"/>
    <col min="5" max="6" width="6.25" customWidth="1"/>
    <col min="7" max="7" width="25" customWidth="1"/>
    <col min="8" max="8" width="1.83203125" customWidth="1"/>
    <col min="9" max="12" width="8.08203125" customWidth="1"/>
    <col min="13" max="13" width="1.83203125" customWidth="1"/>
  </cols>
  <sheetData>
    <row r="1" spans="2:12" ht="11.25" customHeight="1"/>
    <row r="2" spans="2:12" ht="22.5" customHeight="1">
      <c r="C2" s="1"/>
      <c r="D2" s="1" t="s">
        <v>41</v>
      </c>
    </row>
    <row r="3" spans="2:12" ht="22.5" customHeight="1">
      <c r="C3" s="12"/>
      <c r="D3" s="12" t="str">
        <f>project_headline</f>
        <v>Publicis Sapient / Online POS System | Ongoing Releases Estimation</v>
      </c>
    </row>
    <row r="4" spans="2:12" ht="11.25" customHeight="1"/>
    <row r="5" spans="2:12" ht="69" customHeight="1">
      <c r="B5" s="365" t="s">
        <v>42</v>
      </c>
      <c r="C5" s="365"/>
      <c r="D5" s="365"/>
      <c r="E5" s="365"/>
      <c r="F5" s="365"/>
      <c r="G5" s="365"/>
      <c r="H5" s="365"/>
      <c r="I5" s="365"/>
      <c r="J5" s="365"/>
      <c r="K5" s="365"/>
      <c r="L5" s="365"/>
    </row>
    <row r="6" spans="2:12" ht="11.25" customHeight="1"/>
    <row r="7" spans="2:12" ht="15.75" customHeight="1">
      <c r="C7" s="356" t="s">
        <v>43</v>
      </c>
      <c r="D7" s="357"/>
      <c r="E7" s="15" t="s">
        <v>44</v>
      </c>
      <c r="F7" s="15" t="s">
        <v>45</v>
      </c>
      <c r="G7" s="16" t="s">
        <v>46</v>
      </c>
    </row>
    <row r="8" spans="2:12" ht="15.75" customHeight="1">
      <c r="B8" s="6" t="s">
        <v>47</v>
      </c>
      <c r="C8" s="366"/>
      <c r="D8" s="367"/>
      <c r="E8" s="156">
        <f>SUM(E9:E23)</f>
        <v>0</v>
      </c>
      <c r="F8" s="156">
        <f>SUM(F9:F23)</f>
        <v>0</v>
      </c>
      <c r="G8" s="358" t="s">
        <v>48</v>
      </c>
    </row>
    <row r="9" spans="2:12" ht="15.75" customHeight="1" outlineLevel="1">
      <c r="B9" s="17">
        <v>1</v>
      </c>
      <c r="C9" s="317"/>
      <c r="D9" s="317"/>
      <c r="E9" s="318"/>
      <c r="F9" s="319"/>
      <c r="G9" s="359"/>
    </row>
    <row r="10" spans="2:12" outlineLevel="1">
      <c r="B10" s="17">
        <v>2</v>
      </c>
      <c r="C10" s="320"/>
      <c r="D10" s="320"/>
      <c r="E10" s="318"/>
      <c r="F10" s="319"/>
      <c r="G10" s="359"/>
    </row>
    <row r="11" spans="2:12" ht="15.75" customHeight="1" outlineLevel="1">
      <c r="B11" s="17">
        <v>3</v>
      </c>
      <c r="C11" s="317"/>
      <c r="D11" s="317"/>
      <c r="E11" s="318"/>
      <c r="F11" s="319"/>
      <c r="G11" s="359"/>
    </row>
    <row r="12" spans="2:12" ht="15.75" customHeight="1" outlineLevel="1">
      <c r="B12" s="19">
        <v>4</v>
      </c>
      <c r="C12" s="320"/>
      <c r="D12" s="320"/>
      <c r="E12" s="318"/>
      <c r="F12" s="319"/>
      <c r="G12" s="359"/>
    </row>
    <row r="13" spans="2:12" ht="15.75" customHeight="1" outlineLevel="1">
      <c r="B13" s="19">
        <v>5</v>
      </c>
      <c r="C13" s="317"/>
      <c r="D13" s="317"/>
      <c r="E13" s="318"/>
      <c r="F13" s="319"/>
      <c r="G13" s="359"/>
    </row>
    <row r="14" spans="2:12" ht="15.75" customHeight="1" outlineLevel="1">
      <c r="B14" s="19">
        <v>6</v>
      </c>
      <c r="C14" s="317"/>
      <c r="D14" s="317"/>
      <c r="E14" s="318"/>
      <c r="F14" s="319"/>
      <c r="G14" s="359"/>
    </row>
    <row r="15" spans="2:12" ht="15.75" customHeight="1" outlineLevel="1">
      <c r="B15" s="19">
        <v>7</v>
      </c>
      <c r="C15" s="317"/>
      <c r="D15" s="317"/>
      <c r="E15" s="318"/>
      <c r="F15" s="319"/>
      <c r="G15" s="359"/>
    </row>
    <row r="16" spans="2:12" ht="15.75" customHeight="1" outlineLevel="1">
      <c r="B16" s="19">
        <v>8</v>
      </c>
      <c r="C16" s="361"/>
      <c r="D16" s="362"/>
      <c r="E16" s="157"/>
      <c r="F16" s="157"/>
      <c r="G16" s="359"/>
    </row>
    <row r="17" spans="2:7" ht="15.75" customHeight="1" outlineLevel="1">
      <c r="B17" s="19">
        <v>9</v>
      </c>
      <c r="C17" s="361"/>
      <c r="D17" s="362"/>
      <c r="E17" s="157"/>
      <c r="F17" s="157"/>
      <c r="G17" s="359"/>
    </row>
    <row r="18" spans="2:7" ht="15.75" customHeight="1" outlineLevel="1">
      <c r="B18" s="19">
        <v>10</v>
      </c>
      <c r="C18" s="361"/>
      <c r="D18" s="362"/>
      <c r="E18" s="157"/>
      <c r="F18" s="157"/>
      <c r="G18" s="359"/>
    </row>
    <row r="19" spans="2:7" ht="15.75" customHeight="1" outlineLevel="1">
      <c r="B19" s="19">
        <v>11</v>
      </c>
      <c r="C19" s="361"/>
      <c r="D19" s="362"/>
      <c r="E19" s="157"/>
      <c r="F19" s="157"/>
      <c r="G19" s="359"/>
    </row>
    <row r="20" spans="2:7" ht="15.75" customHeight="1" outlineLevel="1">
      <c r="B20" s="19">
        <v>12</v>
      </c>
      <c r="C20" s="361"/>
      <c r="D20" s="362"/>
      <c r="E20" s="157"/>
      <c r="F20" s="157"/>
      <c r="G20" s="359"/>
    </row>
    <row r="21" spans="2:7" ht="15.75" customHeight="1" outlineLevel="1">
      <c r="B21" s="19">
        <v>13</v>
      </c>
      <c r="C21" s="361"/>
      <c r="D21" s="362"/>
      <c r="E21" s="157"/>
      <c r="F21" s="157"/>
      <c r="G21" s="359"/>
    </row>
    <row r="22" spans="2:7" ht="15.75" customHeight="1" outlineLevel="1">
      <c r="B22" s="19">
        <v>14</v>
      </c>
      <c r="C22" s="361"/>
      <c r="D22" s="362"/>
      <c r="E22" s="157"/>
      <c r="F22" s="157"/>
      <c r="G22" s="359"/>
    </row>
    <row r="23" spans="2:7" ht="15.75" customHeight="1" outlineLevel="1">
      <c r="B23" s="18">
        <v>15</v>
      </c>
      <c r="C23" s="363"/>
      <c r="D23" s="364"/>
      <c r="E23" s="158"/>
      <c r="F23" s="158"/>
      <c r="G23" s="360"/>
    </row>
    <row r="25" spans="2:7">
      <c r="C25" s="356" t="s">
        <v>43</v>
      </c>
      <c r="D25" s="357"/>
      <c r="E25" s="15" t="s">
        <v>44</v>
      </c>
      <c r="F25" s="15" t="s">
        <v>45</v>
      </c>
      <c r="G25" s="16" t="s">
        <v>46</v>
      </c>
    </row>
    <row r="26" spans="2:7">
      <c r="B26" s="19" t="s">
        <v>49</v>
      </c>
      <c r="C26" s="433" t="s">
        <v>1773</v>
      </c>
      <c r="D26" s="225"/>
      <c r="E26" s="226">
        <f>SUM(E27:E34)</f>
        <v>34</v>
      </c>
      <c r="F26" s="227" t="e">
        <f>SUM(F27:F34)</f>
        <v>#DIV/0!</v>
      </c>
      <c r="G26" s="358" t="s">
        <v>1774</v>
      </c>
    </row>
    <row r="27" spans="2:7">
      <c r="B27" s="19">
        <v>1</v>
      </c>
      <c r="C27" s="215" t="s">
        <v>55</v>
      </c>
      <c r="D27" s="215"/>
      <c r="E27" s="288">
        <v>2</v>
      </c>
      <c r="F27" s="216" t="e">
        <f t="shared" ref="F27" si="0">J27/$H$9</f>
        <v>#DIV/0!</v>
      </c>
      <c r="G27" s="359"/>
    </row>
    <row r="28" spans="2:7">
      <c r="B28" s="19">
        <v>2</v>
      </c>
      <c r="C28" s="215" t="s">
        <v>56</v>
      </c>
      <c r="D28" s="424"/>
      <c r="E28" s="425">
        <v>3</v>
      </c>
      <c r="F28" s="426"/>
      <c r="G28" s="359"/>
    </row>
    <row r="29" spans="2:7">
      <c r="B29" s="19">
        <v>3</v>
      </c>
      <c r="C29" s="215" t="s">
        <v>57</v>
      </c>
      <c r="D29" s="215"/>
      <c r="E29" s="288">
        <v>5</v>
      </c>
      <c r="F29" s="216" t="e">
        <f t="shared" ref="F29" si="1">J29/$H$9</f>
        <v>#DIV/0!</v>
      </c>
      <c r="G29" s="359"/>
    </row>
    <row r="30" spans="2:7">
      <c r="B30" s="19">
        <v>4</v>
      </c>
      <c r="C30" s="215" t="s">
        <v>62</v>
      </c>
      <c r="D30" s="424"/>
      <c r="E30" s="425">
        <v>10</v>
      </c>
      <c r="F30" s="426"/>
      <c r="G30" s="359"/>
    </row>
    <row r="31" spans="2:7">
      <c r="B31" s="19">
        <v>5</v>
      </c>
      <c r="C31" s="215" t="s">
        <v>64</v>
      </c>
      <c r="D31" s="215"/>
      <c r="E31" s="288">
        <v>8</v>
      </c>
      <c r="F31" s="216" t="e">
        <f t="shared" ref="F31:F34" si="2">J31/$H$9</f>
        <v>#DIV/0!</v>
      </c>
      <c r="G31" s="359"/>
    </row>
    <row r="32" spans="2:7" ht="23">
      <c r="B32" s="19">
        <f t="shared" ref="B32:B33" si="3">B31+1</f>
        <v>6</v>
      </c>
      <c r="C32" s="215" t="s">
        <v>51</v>
      </c>
      <c r="D32" s="215"/>
      <c r="E32" s="288">
        <v>2</v>
      </c>
      <c r="F32" s="216" t="e">
        <f t="shared" si="2"/>
        <v>#DIV/0!</v>
      </c>
      <c r="G32" s="359"/>
    </row>
    <row r="33" spans="2:7">
      <c r="B33" s="19">
        <f t="shared" si="3"/>
        <v>7</v>
      </c>
      <c r="C33" s="215" t="s">
        <v>52</v>
      </c>
      <c r="D33" s="215"/>
      <c r="E33" s="288">
        <v>2</v>
      </c>
      <c r="F33" s="216" t="e">
        <f t="shared" si="2"/>
        <v>#DIV/0!</v>
      </c>
      <c r="G33" s="359"/>
    </row>
    <row r="34" spans="2:7">
      <c r="B34" s="19">
        <v>8</v>
      </c>
      <c r="C34" s="217" t="s">
        <v>53</v>
      </c>
      <c r="D34" s="217"/>
      <c r="E34" s="218">
        <v>2</v>
      </c>
      <c r="F34" s="219" t="e">
        <f t="shared" si="2"/>
        <v>#DIV/0!</v>
      </c>
      <c r="G34" s="359"/>
    </row>
    <row r="35" spans="2:7">
      <c r="B35" s="19">
        <v>9</v>
      </c>
      <c r="C35" s="361"/>
      <c r="D35" s="362"/>
      <c r="E35" s="157"/>
      <c r="F35" s="157"/>
      <c r="G35" s="359"/>
    </row>
    <row r="36" spans="2:7">
      <c r="B36" s="19">
        <v>10</v>
      </c>
      <c r="C36" s="361"/>
      <c r="D36" s="362"/>
      <c r="E36" s="157"/>
      <c r="F36" s="157"/>
      <c r="G36" s="359"/>
    </row>
    <row r="37" spans="2:7">
      <c r="B37" s="19">
        <v>11</v>
      </c>
      <c r="C37" s="361"/>
      <c r="D37" s="362"/>
      <c r="E37" s="157"/>
      <c r="F37" s="157"/>
      <c r="G37" s="359"/>
    </row>
    <row r="38" spans="2:7">
      <c r="B38" s="19">
        <v>12</v>
      </c>
      <c r="C38" s="361"/>
      <c r="D38" s="362"/>
      <c r="E38" s="157"/>
      <c r="F38" s="157"/>
      <c r="G38" s="359"/>
    </row>
    <row r="39" spans="2:7">
      <c r="B39" s="19">
        <v>13</v>
      </c>
      <c r="C39" s="361"/>
      <c r="D39" s="362"/>
      <c r="E39" s="157"/>
      <c r="F39" s="157"/>
      <c r="G39" s="359"/>
    </row>
    <row r="40" spans="2:7">
      <c r="B40" s="19">
        <v>14</v>
      </c>
      <c r="C40" s="361"/>
      <c r="D40" s="362"/>
      <c r="E40" s="157"/>
      <c r="F40" s="157"/>
      <c r="G40" s="359"/>
    </row>
    <row r="41" spans="2:7">
      <c r="B41" s="18">
        <v>15</v>
      </c>
      <c r="C41" s="363"/>
      <c r="D41" s="364"/>
      <c r="E41" s="158"/>
      <c r="F41" s="158"/>
      <c r="G41" s="360"/>
    </row>
    <row r="43" spans="2:7">
      <c r="C43" s="356" t="s">
        <v>43</v>
      </c>
      <c r="D43" s="357"/>
      <c r="E43" s="15" t="s">
        <v>44</v>
      </c>
      <c r="F43" s="15" t="s">
        <v>45</v>
      </c>
      <c r="G43" s="16" t="s">
        <v>46</v>
      </c>
    </row>
    <row r="44" spans="2:7">
      <c r="B44" s="19" t="s">
        <v>49</v>
      </c>
      <c r="C44" s="225" t="s">
        <v>1817</v>
      </c>
      <c r="D44" s="225"/>
      <c r="E44" s="226" t="e">
        <f>SUM(E45:E52)</f>
        <v>#DIV/0!</v>
      </c>
      <c r="F44" s="227" t="e">
        <f>SUM(F45:F52)</f>
        <v>#DIV/0!</v>
      </c>
      <c r="G44" s="358" t="s">
        <v>1775</v>
      </c>
    </row>
    <row r="45" spans="2:7">
      <c r="B45" s="19">
        <v>1</v>
      </c>
      <c r="C45" s="215" t="s">
        <v>55</v>
      </c>
      <c r="D45" s="215"/>
      <c r="E45" s="288" t="e">
        <f t="shared" ref="E45" si="4">I45/$H$9</f>
        <v>#DIV/0!</v>
      </c>
      <c r="F45" s="216" t="e">
        <f t="shared" ref="F45" si="5">J45/$H$9</f>
        <v>#DIV/0!</v>
      </c>
      <c r="G45" s="359"/>
    </row>
    <row r="46" spans="2:7">
      <c r="B46" s="19">
        <v>2</v>
      </c>
      <c r="C46" s="215" t="s">
        <v>56</v>
      </c>
      <c r="D46" s="424"/>
      <c r="E46" s="425"/>
      <c r="F46" s="426"/>
      <c r="G46" s="359"/>
    </row>
    <row r="47" spans="2:7">
      <c r="B47" s="19">
        <v>3</v>
      </c>
      <c r="C47" s="215" t="s">
        <v>57</v>
      </c>
      <c r="D47" s="215"/>
      <c r="E47" s="288" t="e">
        <f t="shared" ref="E47" si="6">I47/$H$9</f>
        <v>#DIV/0!</v>
      </c>
      <c r="F47" s="216" t="e">
        <f t="shared" ref="F47" si="7">J47/$H$9</f>
        <v>#DIV/0!</v>
      </c>
      <c r="G47" s="359"/>
    </row>
    <row r="48" spans="2:7">
      <c r="B48" s="19">
        <v>4</v>
      </c>
      <c r="C48" s="215" t="s">
        <v>62</v>
      </c>
      <c r="D48" s="424"/>
      <c r="E48" s="425"/>
      <c r="F48" s="426"/>
      <c r="G48" s="359"/>
    </row>
    <row r="49" spans="2:7">
      <c r="B49" s="19">
        <v>5</v>
      </c>
      <c r="C49" s="215" t="s">
        <v>64</v>
      </c>
      <c r="D49" s="215"/>
      <c r="E49" s="288" t="e">
        <f t="shared" ref="E49:E52" si="8">I49/$H$9</f>
        <v>#DIV/0!</v>
      </c>
      <c r="F49" s="216" t="e">
        <f t="shared" ref="F49:F52" si="9">J49/$H$9</f>
        <v>#DIV/0!</v>
      </c>
      <c r="G49" s="359"/>
    </row>
    <row r="50" spans="2:7" ht="23">
      <c r="B50" s="19">
        <f t="shared" ref="B50:B51" si="10">B49+1</f>
        <v>6</v>
      </c>
      <c r="C50" s="215" t="s">
        <v>51</v>
      </c>
      <c r="D50" s="215"/>
      <c r="E50" s="288" t="e">
        <f t="shared" si="8"/>
        <v>#DIV/0!</v>
      </c>
      <c r="F50" s="216" t="e">
        <f t="shared" si="9"/>
        <v>#DIV/0!</v>
      </c>
      <c r="G50" s="359"/>
    </row>
    <row r="51" spans="2:7">
      <c r="B51" s="19">
        <f t="shared" si="10"/>
        <v>7</v>
      </c>
      <c r="C51" s="215" t="s">
        <v>52</v>
      </c>
      <c r="D51" s="215"/>
      <c r="E51" s="288" t="e">
        <f t="shared" si="8"/>
        <v>#DIV/0!</v>
      </c>
      <c r="F51" s="216" t="e">
        <f t="shared" si="9"/>
        <v>#DIV/0!</v>
      </c>
      <c r="G51" s="359"/>
    </row>
    <row r="52" spans="2:7">
      <c r="B52" s="19">
        <v>8</v>
      </c>
      <c r="C52" s="217" t="s">
        <v>53</v>
      </c>
      <c r="D52" s="217"/>
      <c r="E52" s="218" t="e">
        <f t="shared" si="8"/>
        <v>#DIV/0!</v>
      </c>
      <c r="F52" s="219" t="e">
        <f t="shared" si="9"/>
        <v>#DIV/0!</v>
      </c>
      <c r="G52" s="359"/>
    </row>
    <row r="53" spans="2:7">
      <c r="B53" s="19">
        <v>9</v>
      </c>
      <c r="C53" s="361"/>
      <c r="D53" s="362"/>
      <c r="E53" s="157"/>
      <c r="F53" s="157"/>
      <c r="G53" s="359"/>
    </row>
    <row r="54" spans="2:7">
      <c r="B54" s="19">
        <v>10</v>
      </c>
      <c r="C54" s="361"/>
      <c r="D54" s="362"/>
      <c r="E54" s="157"/>
      <c r="F54" s="157"/>
      <c r="G54" s="359"/>
    </row>
    <row r="55" spans="2:7">
      <c r="B55" s="19">
        <v>11</v>
      </c>
      <c r="C55" s="361"/>
      <c r="D55" s="362"/>
      <c r="E55" s="157"/>
      <c r="F55" s="157"/>
      <c r="G55" s="359"/>
    </row>
    <row r="56" spans="2:7">
      <c r="B56" s="19">
        <v>12</v>
      </c>
      <c r="C56" s="361"/>
      <c r="D56" s="362"/>
      <c r="E56" s="157"/>
      <c r="F56" s="157"/>
      <c r="G56" s="359"/>
    </row>
    <row r="57" spans="2:7">
      <c r="B57" s="19">
        <v>13</v>
      </c>
      <c r="C57" s="361"/>
      <c r="D57" s="362"/>
      <c r="E57" s="157"/>
      <c r="F57" s="157"/>
      <c r="G57" s="359"/>
    </row>
    <row r="58" spans="2:7">
      <c r="B58" s="19">
        <v>14</v>
      </c>
      <c r="C58" s="361"/>
      <c r="D58" s="362"/>
      <c r="E58" s="157"/>
      <c r="F58" s="157"/>
      <c r="G58" s="359"/>
    </row>
    <row r="59" spans="2:7">
      <c r="B59" s="18">
        <v>15</v>
      </c>
      <c r="C59" s="363"/>
      <c r="D59" s="364"/>
      <c r="E59" s="158"/>
      <c r="F59" s="158"/>
      <c r="G59" s="360"/>
    </row>
    <row r="61" spans="2:7">
      <c r="C61" s="356" t="s">
        <v>43</v>
      </c>
      <c r="D61" s="357"/>
      <c r="E61" s="15" t="s">
        <v>44</v>
      </c>
      <c r="F61" s="15" t="s">
        <v>45</v>
      </c>
      <c r="G61" s="16" t="s">
        <v>46</v>
      </c>
    </row>
    <row r="62" spans="2:7">
      <c r="B62" s="19" t="s">
        <v>49</v>
      </c>
      <c r="C62" s="225" t="s">
        <v>1776</v>
      </c>
      <c r="D62" s="225"/>
      <c r="E62" s="226" t="e">
        <f>SUM(E63:E70)</f>
        <v>#DIV/0!</v>
      </c>
      <c r="F62" s="227" t="e">
        <f>SUM(F63:F70)</f>
        <v>#DIV/0!</v>
      </c>
      <c r="G62" s="358" t="s">
        <v>1777</v>
      </c>
    </row>
    <row r="63" spans="2:7">
      <c r="B63" s="19">
        <v>1</v>
      </c>
      <c r="C63" s="215" t="s">
        <v>55</v>
      </c>
      <c r="D63" s="215"/>
      <c r="E63" s="288" t="e">
        <f t="shared" ref="E63" si="11">I63/$H$9</f>
        <v>#DIV/0!</v>
      </c>
      <c r="F63" s="216" t="e">
        <f t="shared" ref="F63" si="12">J63/$H$9</f>
        <v>#DIV/0!</v>
      </c>
      <c r="G63" s="359"/>
    </row>
    <row r="64" spans="2:7">
      <c r="B64" s="19">
        <v>2</v>
      </c>
      <c r="C64" s="215" t="s">
        <v>56</v>
      </c>
      <c r="D64" s="424"/>
      <c r="E64" s="425"/>
      <c r="F64" s="426"/>
      <c r="G64" s="359"/>
    </row>
    <row r="65" spans="2:7">
      <c r="B65" s="19">
        <v>3</v>
      </c>
      <c r="C65" s="215" t="s">
        <v>57</v>
      </c>
      <c r="D65" s="215"/>
      <c r="E65" s="288" t="e">
        <f t="shared" ref="E65" si="13">I65/$H$9</f>
        <v>#DIV/0!</v>
      </c>
      <c r="F65" s="216" t="e">
        <f t="shared" ref="F65" si="14">J65/$H$9</f>
        <v>#DIV/0!</v>
      </c>
      <c r="G65" s="359"/>
    </row>
    <row r="66" spans="2:7">
      <c r="B66" s="19">
        <v>4</v>
      </c>
      <c r="C66" s="215" t="s">
        <v>62</v>
      </c>
      <c r="D66" s="424"/>
      <c r="E66" s="425"/>
      <c r="F66" s="426"/>
      <c r="G66" s="359"/>
    </row>
    <row r="67" spans="2:7">
      <c r="B67" s="19">
        <v>5</v>
      </c>
      <c r="C67" s="215" t="s">
        <v>64</v>
      </c>
      <c r="D67" s="215"/>
      <c r="E67" s="288" t="e">
        <f t="shared" ref="E67:E70" si="15">I67/$H$9</f>
        <v>#DIV/0!</v>
      </c>
      <c r="F67" s="216" t="e">
        <f t="shared" ref="F67:F70" si="16">J67/$H$9</f>
        <v>#DIV/0!</v>
      </c>
      <c r="G67" s="359"/>
    </row>
    <row r="68" spans="2:7" ht="23">
      <c r="B68" s="19">
        <f t="shared" ref="B68:B69" si="17">B67+1</f>
        <v>6</v>
      </c>
      <c r="C68" s="215" t="s">
        <v>51</v>
      </c>
      <c r="D68" s="215"/>
      <c r="E68" s="288" t="e">
        <f t="shared" si="15"/>
        <v>#DIV/0!</v>
      </c>
      <c r="F68" s="216" t="e">
        <f t="shared" si="16"/>
        <v>#DIV/0!</v>
      </c>
      <c r="G68" s="359"/>
    </row>
    <row r="69" spans="2:7">
      <c r="B69" s="19">
        <f t="shared" si="17"/>
        <v>7</v>
      </c>
      <c r="C69" s="215" t="s">
        <v>52</v>
      </c>
      <c r="D69" s="215"/>
      <c r="E69" s="288" t="e">
        <f t="shared" si="15"/>
        <v>#DIV/0!</v>
      </c>
      <c r="F69" s="216" t="e">
        <f t="shared" si="16"/>
        <v>#DIV/0!</v>
      </c>
      <c r="G69" s="359"/>
    </row>
    <row r="70" spans="2:7">
      <c r="B70" s="19">
        <v>8</v>
      </c>
      <c r="C70" s="217" t="s">
        <v>53</v>
      </c>
      <c r="D70" s="217"/>
      <c r="E70" s="218" t="e">
        <f t="shared" si="15"/>
        <v>#DIV/0!</v>
      </c>
      <c r="F70" s="219" t="e">
        <f t="shared" si="16"/>
        <v>#DIV/0!</v>
      </c>
      <c r="G70" s="359"/>
    </row>
    <row r="71" spans="2:7">
      <c r="B71" s="19">
        <v>9</v>
      </c>
      <c r="C71" s="361"/>
      <c r="D71" s="362"/>
      <c r="E71" s="157"/>
      <c r="F71" s="157"/>
      <c r="G71" s="359"/>
    </row>
    <row r="72" spans="2:7">
      <c r="B72" s="19">
        <v>10</v>
      </c>
      <c r="C72" s="361"/>
      <c r="D72" s="362"/>
      <c r="E72" s="157"/>
      <c r="F72" s="157"/>
      <c r="G72" s="359"/>
    </row>
    <row r="73" spans="2:7">
      <c r="B73" s="19">
        <v>11</v>
      </c>
      <c r="C73" s="361"/>
      <c r="D73" s="362"/>
      <c r="E73" s="157"/>
      <c r="F73" s="157"/>
      <c r="G73" s="359"/>
    </row>
    <row r="74" spans="2:7">
      <c r="B74" s="19">
        <v>12</v>
      </c>
      <c r="C74" s="361"/>
      <c r="D74" s="362"/>
      <c r="E74" s="157"/>
      <c r="F74" s="157"/>
      <c r="G74" s="359"/>
    </row>
    <row r="75" spans="2:7">
      <c r="B75" s="19">
        <v>13</v>
      </c>
      <c r="C75" s="361"/>
      <c r="D75" s="362"/>
      <c r="E75" s="157"/>
      <c r="F75" s="157"/>
      <c r="G75" s="359"/>
    </row>
    <row r="76" spans="2:7">
      <c r="B76" s="19">
        <v>14</v>
      </c>
      <c r="C76" s="361"/>
      <c r="D76" s="362"/>
      <c r="E76" s="157"/>
      <c r="F76" s="157"/>
      <c r="G76" s="359"/>
    </row>
    <row r="77" spans="2:7">
      <c r="B77" s="18">
        <v>15</v>
      </c>
      <c r="C77" s="363"/>
      <c r="D77" s="364"/>
      <c r="E77" s="158"/>
      <c r="F77" s="158"/>
      <c r="G77" s="360"/>
    </row>
    <row r="80" spans="2:7">
      <c r="C80" s="356" t="s">
        <v>43</v>
      </c>
      <c r="D80" s="357"/>
      <c r="E80" s="15" t="s">
        <v>44</v>
      </c>
      <c r="F80" s="15" t="s">
        <v>45</v>
      </c>
      <c r="G80" s="16" t="s">
        <v>46</v>
      </c>
    </row>
    <row r="81" spans="2:11" ht="23">
      <c r="B81" s="19" t="s">
        <v>49</v>
      </c>
      <c r="C81" s="433" t="s">
        <v>1737</v>
      </c>
      <c r="D81" s="225"/>
      <c r="E81" s="226" t="e">
        <f>SUM(E82:E89)</f>
        <v>#DIV/0!</v>
      </c>
      <c r="F81" s="227" t="e">
        <f>SUM(F82:F89)</f>
        <v>#DIV/0!</v>
      </c>
      <c r="G81" s="358" t="s">
        <v>1778</v>
      </c>
      <c r="I81" s="220"/>
      <c r="J81" s="220"/>
      <c r="K81" s="220"/>
    </row>
    <row r="82" spans="2:11" outlineLevel="1">
      <c r="B82" s="19">
        <v>1</v>
      </c>
      <c r="C82" s="215" t="s">
        <v>55</v>
      </c>
      <c r="D82" s="215"/>
      <c r="E82" s="288" t="e">
        <f t="shared" ref="E82:F89" si="18">I82/$H$9</f>
        <v>#DIV/0!</v>
      </c>
      <c r="F82" s="216" t="e">
        <f t="shared" si="18"/>
        <v>#DIV/0!</v>
      </c>
      <c r="G82" s="359"/>
      <c r="I82" s="220">
        <v>8</v>
      </c>
      <c r="J82" s="220">
        <v>16</v>
      </c>
      <c r="K82" s="220"/>
    </row>
    <row r="83" spans="2:11" outlineLevel="1">
      <c r="B83" s="19">
        <v>2</v>
      </c>
      <c r="C83" s="215" t="s">
        <v>56</v>
      </c>
      <c r="D83" s="424"/>
      <c r="E83" s="425"/>
      <c r="F83" s="426"/>
      <c r="G83" s="359"/>
      <c r="I83" s="220"/>
      <c r="J83" s="220"/>
      <c r="K83" s="220"/>
    </row>
    <row r="84" spans="2:11" outlineLevel="1">
      <c r="B84" s="19">
        <v>3</v>
      </c>
      <c r="C84" s="215" t="s">
        <v>57</v>
      </c>
      <c r="D84" s="215"/>
      <c r="E84" s="288" t="e">
        <f t="shared" si="18"/>
        <v>#DIV/0!</v>
      </c>
      <c r="F84" s="216" t="e">
        <f t="shared" si="18"/>
        <v>#DIV/0!</v>
      </c>
      <c r="G84" s="359"/>
      <c r="I84" s="220">
        <v>24</v>
      </c>
      <c r="J84" s="220">
        <v>48</v>
      </c>
      <c r="K84" s="220"/>
    </row>
    <row r="85" spans="2:11" outlineLevel="1">
      <c r="B85" s="19">
        <v>4</v>
      </c>
      <c r="C85" s="215" t="s">
        <v>62</v>
      </c>
      <c r="D85" s="424"/>
      <c r="E85" s="425"/>
      <c r="F85" s="426"/>
      <c r="G85" s="359"/>
      <c r="I85" s="220"/>
      <c r="J85" s="220"/>
      <c r="K85" s="220"/>
    </row>
    <row r="86" spans="2:11" outlineLevel="1">
      <c r="B86" s="19">
        <v>5</v>
      </c>
      <c r="C86" s="215" t="s">
        <v>64</v>
      </c>
      <c r="D86" s="215"/>
      <c r="E86" s="288" t="e">
        <f t="shared" si="18"/>
        <v>#DIV/0!</v>
      </c>
      <c r="F86" s="216" t="e">
        <f t="shared" si="18"/>
        <v>#DIV/0!</v>
      </c>
      <c r="G86" s="359"/>
      <c r="I86" s="220">
        <v>2</v>
      </c>
      <c r="J86" s="220">
        <v>6</v>
      </c>
      <c r="K86" s="220"/>
    </row>
    <row r="87" spans="2:11" ht="23" outlineLevel="1">
      <c r="B87" s="19">
        <f t="shared" ref="B87:B88" si="19">B86+1</f>
        <v>6</v>
      </c>
      <c r="C87" s="215" t="s">
        <v>51</v>
      </c>
      <c r="D87" s="215"/>
      <c r="E87" s="288" t="e">
        <f t="shared" si="18"/>
        <v>#DIV/0!</v>
      </c>
      <c r="F87" s="216" t="e">
        <f t="shared" si="18"/>
        <v>#DIV/0!</v>
      </c>
      <c r="G87" s="359"/>
      <c r="I87" s="220">
        <v>2</v>
      </c>
      <c r="J87" s="220">
        <v>3</v>
      </c>
      <c r="K87" s="220"/>
    </row>
    <row r="88" spans="2:11" outlineLevel="1">
      <c r="B88" s="19">
        <f t="shared" si="19"/>
        <v>7</v>
      </c>
      <c r="C88" s="215" t="s">
        <v>52</v>
      </c>
      <c r="D88" s="215"/>
      <c r="E88" s="288" t="e">
        <f t="shared" si="18"/>
        <v>#DIV/0!</v>
      </c>
      <c r="F88" s="216" t="e">
        <f t="shared" si="18"/>
        <v>#DIV/0!</v>
      </c>
      <c r="G88" s="359"/>
      <c r="I88" s="220">
        <v>1</v>
      </c>
      <c r="J88" s="220">
        <v>2</v>
      </c>
      <c r="K88" s="220"/>
    </row>
    <row r="89" spans="2:11" outlineLevel="1">
      <c r="B89" s="19">
        <v>8</v>
      </c>
      <c r="C89" s="217" t="s">
        <v>53</v>
      </c>
      <c r="D89" s="217"/>
      <c r="E89" s="218" t="e">
        <f t="shared" si="18"/>
        <v>#DIV/0!</v>
      </c>
      <c r="F89" s="219" t="e">
        <f t="shared" si="18"/>
        <v>#DIV/0!</v>
      </c>
      <c r="G89" s="359"/>
      <c r="I89" s="220">
        <v>1</v>
      </c>
      <c r="J89" s="220">
        <v>1</v>
      </c>
      <c r="K89" s="220"/>
    </row>
    <row r="90" spans="2:11" outlineLevel="1">
      <c r="B90" s="19">
        <v>9</v>
      </c>
      <c r="C90" s="361"/>
      <c r="D90" s="362"/>
      <c r="E90" s="157"/>
      <c r="F90" s="157"/>
      <c r="G90" s="359"/>
    </row>
    <row r="91" spans="2:11" outlineLevel="1">
      <c r="B91" s="19">
        <v>10</v>
      </c>
      <c r="C91" s="361"/>
      <c r="D91" s="362"/>
      <c r="E91" s="157"/>
      <c r="F91" s="157"/>
      <c r="G91" s="359"/>
    </row>
    <row r="92" spans="2:11" outlineLevel="1">
      <c r="B92" s="19">
        <v>11</v>
      </c>
      <c r="C92" s="361"/>
      <c r="D92" s="362"/>
      <c r="E92" s="157"/>
      <c r="F92" s="157"/>
      <c r="G92" s="359"/>
    </row>
    <row r="93" spans="2:11" outlineLevel="1">
      <c r="B93" s="19">
        <v>12</v>
      </c>
      <c r="C93" s="361"/>
      <c r="D93" s="362"/>
      <c r="E93" s="157"/>
      <c r="F93" s="157"/>
      <c r="G93" s="359"/>
    </row>
    <row r="94" spans="2:11" outlineLevel="1">
      <c r="B94" s="19">
        <v>13</v>
      </c>
      <c r="C94" s="361"/>
      <c r="D94" s="362"/>
      <c r="E94" s="157"/>
      <c r="F94" s="157"/>
      <c r="G94" s="359"/>
    </row>
    <row r="95" spans="2:11" outlineLevel="1">
      <c r="B95" s="19">
        <v>14</v>
      </c>
      <c r="C95" s="361"/>
      <c r="D95" s="362"/>
      <c r="E95" s="157"/>
      <c r="F95" s="157"/>
      <c r="G95" s="359"/>
    </row>
    <row r="96" spans="2:11" outlineLevel="1">
      <c r="B96" s="18">
        <v>15</v>
      </c>
      <c r="C96" s="363"/>
      <c r="D96" s="364"/>
      <c r="E96" s="158"/>
      <c r="F96" s="158"/>
      <c r="G96" s="360"/>
    </row>
    <row r="98" spans="2:10">
      <c r="C98" s="356" t="s">
        <v>43</v>
      </c>
      <c r="D98" s="357"/>
      <c r="E98" s="15" t="s">
        <v>44</v>
      </c>
      <c r="F98" s="15" t="s">
        <v>45</v>
      </c>
      <c r="G98" s="16" t="s">
        <v>46</v>
      </c>
    </row>
    <row r="99" spans="2:10" ht="15.75" customHeight="1">
      <c r="B99" s="19" t="s">
        <v>49</v>
      </c>
      <c r="C99" s="225" t="s">
        <v>1729</v>
      </c>
      <c r="D99" s="225"/>
      <c r="E99" s="226" t="e">
        <f>SUM(E100:E108)</f>
        <v>#DIV/0!</v>
      </c>
      <c r="F99" s="227" t="e">
        <f>SUM(F100:F108)</f>
        <v>#DIV/0!</v>
      </c>
      <c r="G99" s="358" t="s">
        <v>1738</v>
      </c>
      <c r="I99" s="220"/>
      <c r="J99" s="220"/>
    </row>
    <row r="100" spans="2:10" outlineLevel="1">
      <c r="B100" s="19">
        <v>1</v>
      </c>
      <c r="C100" s="215" t="s">
        <v>55</v>
      </c>
      <c r="D100" s="215"/>
      <c r="E100" s="288" t="e">
        <f>I100/$H$9</f>
        <v>#DIV/0!</v>
      </c>
      <c r="F100" s="288" t="e">
        <f>J100/$H$9</f>
        <v>#DIV/0!</v>
      </c>
      <c r="G100" s="359"/>
      <c r="I100" s="220">
        <v>2</v>
      </c>
      <c r="J100" s="220">
        <v>4</v>
      </c>
    </row>
    <row r="101" spans="2:10" outlineLevel="1">
      <c r="B101" s="19">
        <f t="shared" ref="B101:B108" si="20">B100+1</f>
        <v>2</v>
      </c>
      <c r="C101" s="215" t="s">
        <v>56</v>
      </c>
      <c r="D101" s="215"/>
      <c r="E101" s="288" t="e">
        <f t="shared" ref="E101:F108" si="21">I101/$H$9</f>
        <v>#DIV/0!</v>
      </c>
      <c r="F101" s="288" t="e">
        <f t="shared" si="21"/>
        <v>#DIV/0!</v>
      </c>
      <c r="G101" s="359"/>
      <c r="I101" s="220">
        <v>2</v>
      </c>
      <c r="J101" s="220">
        <v>4</v>
      </c>
    </row>
    <row r="102" spans="2:10" outlineLevel="1">
      <c r="B102" s="19">
        <f t="shared" si="20"/>
        <v>3</v>
      </c>
      <c r="C102" s="215" t="s">
        <v>57</v>
      </c>
      <c r="D102" s="220"/>
      <c r="E102" s="288" t="e">
        <f t="shared" si="21"/>
        <v>#DIV/0!</v>
      </c>
      <c r="F102" s="288" t="e">
        <f t="shared" si="21"/>
        <v>#DIV/0!</v>
      </c>
      <c r="G102" s="359"/>
      <c r="I102" s="220">
        <v>1</v>
      </c>
      <c r="J102" s="220">
        <v>1</v>
      </c>
    </row>
    <row r="103" spans="2:10" outlineLevel="1">
      <c r="B103" s="19">
        <f t="shared" si="20"/>
        <v>4</v>
      </c>
      <c r="C103" s="215" t="s">
        <v>62</v>
      </c>
      <c r="D103" s="221"/>
      <c r="E103" s="288" t="e">
        <f t="shared" si="21"/>
        <v>#DIV/0!</v>
      </c>
      <c r="F103" s="288" t="e">
        <f t="shared" si="21"/>
        <v>#DIV/0!</v>
      </c>
      <c r="G103" s="359"/>
      <c r="I103" s="220">
        <v>4</v>
      </c>
      <c r="J103" s="220">
        <v>8</v>
      </c>
    </row>
    <row r="104" spans="2:10" outlineLevel="1">
      <c r="B104" s="19">
        <f t="shared" si="20"/>
        <v>5</v>
      </c>
      <c r="C104" s="215" t="s">
        <v>58</v>
      </c>
      <c r="D104" s="221"/>
      <c r="E104" s="288" t="e">
        <f t="shared" si="21"/>
        <v>#DIV/0!</v>
      </c>
      <c r="F104" s="288" t="e">
        <f t="shared" si="21"/>
        <v>#DIV/0!</v>
      </c>
      <c r="G104" s="359"/>
      <c r="I104" s="220">
        <v>2</v>
      </c>
      <c r="J104" s="220">
        <v>4</v>
      </c>
    </row>
    <row r="105" spans="2:10" ht="23" outlineLevel="1">
      <c r="B105" s="19"/>
      <c r="C105" s="215" t="s">
        <v>51</v>
      </c>
      <c r="D105" s="428"/>
      <c r="E105" s="425"/>
      <c r="F105" s="426"/>
      <c r="G105" s="359"/>
      <c r="I105" s="220"/>
      <c r="J105" s="220"/>
    </row>
    <row r="106" spans="2:10" outlineLevel="1">
      <c r="B106" s="19" t="e">
        <f>#REF!+1</f>
        <v>#REF!</v>
      </c>
      <c r="C106" s="215" t="s">
        <v>52</v>
      </c>
      <c r="D106" s="215"/>
      <c r="E106" s="288" t="e">
        <f t="shared" si="21"/>
        <v>#DIV/0!</v>
      </c>
      <c r="F106" s="216" t="e">
        <f t="shared" si="21"/>
        <v>#DIV/0!</v>
      </c>
      <c r="G106" s="359"/>
      <c r="I106" s="220">
        <v>2</v>
      </c>
      <c r="J106" s="220">
        <v>4</v>
      </c>
    </row>
    <row r="107" spans="2:10" outlineLevel="1">
      <c r="B107" s="19" t="e">
        <f t="shared" si="20"/>
        <v>#REF!</v>
      </c>
      <c r="C107" s="217" t="s">
        <v>60</v>
      </c>
      <c r="D107" s="222"/>
      <c r="E107" s="223" t="e">
        <f t="shared" si="21"/>
        <v>#DIV/0!</v>
      </c>
      <c r="F107" s="224" t="e">
        <f t="shared" si="21"/>
        <v>#DIV/0!</v>
      </c>
      <c r="G107" s="359"/>
      <c r="I107" s="220">
        <v>1</v>
      </c>
      <c r="J107" s="220">
        <v>1</v>
      </c>
    </row>
    <row r="108" spans="2:10" outlineLevel="1">
      <c r="B108" s="19" t="e">
        <f t="shared" si="20"/>
        <v>#REF!</v>
      </c>
      <c r="C108" s="217"/>
      <c r="D108" s="222"/>
      <c r="E108" s="223" t="e">
        <f t="shared" si="21"/>
        <v>#DIV/0!</v>
      </c>
      <c r="F108" s="224" t="e">
        <f t="shared" si="21"/>
        <v>#DIV/0!</v>
      </c>
      <c r="G108" s="359"/>
      <c r="I108" s="220">
        <v>0</v>
      </c>
      <c r="J108" s="220">
        <v>0</v>
      </c>
    </row>
    <row r="109" spans="2:10" outlineLevel="1">
      <c r="B109" s="19">
        <v>10</v>
      </c>
      <c r="C109" s="361"/>
      <c r="D109" s="362"/>
      <c r="E109" s="157"/>
      <c r="F109" s="157"/>
      <c r="G109" s="359"/>
    </row>
    <row r="110" spans="2:10" outlineLevel="1">
      <c r="B110" s="19">
        <v>11</v>
      </c>
      <c r="C110" s="361"/>
      <c r="D110" s="362"/>
      <c r="E110" s="157"/>
      <c r="F110" s="157"/>
      <c r="G110" s="359"/>
    </row>
    <row r="111" spans="2:10" outlineLevel="1">
      <c r="B111" s="19">
        <v>12</v>
      </c>
      <c r="C111" s="361"/>
      <c r="D111" s="362"/>
      <c r="E111" s="157"/>
      <c r="F111" s="157"/>
      <c r="G111" s="359"/>
    </row>
    <row r="112" spans="2:10" outlineLevel="1">
      <c r="B112" s="19">
        <v>13</v>
      </c>
      <c r="C112" s="361"/>
      <c r="D112" s="362"/>
      <c r="E112" s="157"/>
      <c r="F112" s="157"/>
      <c r="G112" s="359"/>
    </row>
    <row r="113" spans="2:10" outlineLevel="1">
      <c r="B113" s="19">
        <v>14</v>
      </c>
      <c r="C113" s="361"/>
      <c r="D113" s="362"/>
      <c r="E113" s="157"/>
      <c r="F113" s="157"/>
      <c r="G113" s="359"/>
    </row>
    <row r="114" spans="2:10" outlineLevel="1">
      <c r="B114" s="18">
        <v>15</v>
      </c>
      <c r="C114" s="363"/>
      <c r="D114" s="364"/>
      <c r="E114" s="158"/>
      <c r="F114" s="158"/>
      <c r="G114" s="360"/>
    </row>
    <row r="116" spans="2:10">
      <c r="C116" s="356" t="s">
        <v>43</v>
      </c>
      <c r="D116" s="357"/>
      <c r="E116" s="15" t="s">
        <v>44</v>
      </c>
      <c r="F116" s="15" t="s">
        <v>45</v>
      </c>
      <c r="G116" s="16" t="s">
        <v>46</v>
      </c>
    </row>
    <row r="117" spans="2:10" ht="15.75" customHeight="1">
      <c r="B117" s="19" t="s">
        <v>49</v>
      </c>
      <c r="C117" s="225" t="s">
        <v>1739</v>
      </c>
      <c r="D117" s="225"/>
      <c r="E117" s="226" t="e">
        <f>SUM(E118:E126)</f>
        <v>#DIV/0!</v>
      </c>
      <c r="F117" s="227" t="e">
        <f>SUM(F118:F126)</f>
        <v>#DIV/0!</v>
      </c>
      <c r="G117" s="358" t="s">
        <v>1741</v>
      </c>
      <c r="H117" s="220"/>
      <c r="I117" s="220"/>
      <c r="J117" s="220"/>
    </row>
    <row r="118" spans="2:10" outlineLevel="1">
      <c r="B118" s="19">
        <v>1</v>
      </c>
      <c r="C118" s="215" t="s">
        <v>55</v>
      </c>
      <c r="D118" s="215"/>
      <c r="E118" s="288" t="e">
        <f>I118/$H$9</f>
        <v>#DIV/0!</v>
      </c>
      <c r="F118" s="288" t="e">
        <f>J118/$H$9</f>
        <v>#DIV/0!</v>
      </c>
      <c r="G118" s="359"/>
      <c r="H118" s="220"/>
      <c r="I118" s="220">
        <v>2</v>
      </c>
      <c r="J118" s="220">
        <v>4</v>
      </c>
    </row>
    <row r="119" spans="2:10" outlineLevel="1">
      <c r="B119" s="19">
        <f t="shared" ref="B119:B126" si="22">B118+1</f>
        <v>2</v>
      </c>
      <c r="C119" s="215" t="s">
        <v>56</v>
      </c>
      <c r="D119" s="215"/>
      <c r="E119" s="288" t="e">
        <f t="shared" ref="E119:F126" si="23">I119/$H$9</f>
        <v>#DIV/0!</v>
      </c>
      <c r="F119" s="288" t="e">
        <f t="shared" si="23"/>
        <v>#DIV/0!</v>
      </c>
      <c r="G119" s="359"/>
      <c r="H119" s="220"/>
      <c r="I119" s="220">
        <v>3</v>
      </c>
      <c r="J119" s="220">
        <v>6</v>
      </c>
    </row>
    <row r="120" spans="2:10" outlineLevel="1">
      <c r="B120" s="19">
        <f t="shared" si="22"/>
        <v>3</v>
      </c>
      <c r="C120" s="220" t="s">
        <v>57</v>
      </c>
      <c r="D120" s="220"/>
      <c r="E120" s="288" t="e">
        <f t="shared" si="23"/>
        <v>#DIV/0!</v>
      </c>
      <c r="F120" s="288" t="e">
        <f t="shared" si="23"/>
        <v>#DIV/0!</v>
      </c>
      <c r="G120" s="359"/>
      <c r="H120" s="220"/>
      <c r="I120" s="220">
        <v>2</v>
      </c>
      <c r="J120" s="220">
        <v>3</v>
      </c>
    </row>
    <row r="121" spans="2:10" outlineLevel="1">
      <c r="B121" s="19">
        <f t="shared" si="22"/>
        <v>4</v>
      </c>
      <c r="C121" s="221" t="s">
        <v>62</v>
      </c>
      <c r="D121" s="221"/>
      <c r="E121" s="288" t="e">
        <f t="shared" si="23"/>
        <v>#DIV/0!</v>
      </c>
      <c r="F121" s="288" t="e">
        <f t="shared" si="23"/>
        <v>#DIV/0!</v>
      </c>
      <c r="G121" s="359"/>
      <c r="H121" s="220"/>
      <c r="I121" s="220">
        <v>16</v>
      </c>
      <c r="J121" s="220">
        <v>24</v>
      </c>
    </row>
    <row r="122" spans="2:10" outlineLevel="1">
      <c r="B122" s="19">
        <f t="shared" si="22"/>
        <v>5</v>
      </c>
      <c r="C122" s="221" t="s">
        <v>58</v>
      </c>
      <c r="D122" s="221"/>
      <c r="E122" s="288" t="e">
        <f t="shared" si="23"/>
        <v>#DIV/0!</v>
      </c>
      <c r="F122" s="288" t="e">
        <f t="shared" si="23"/>
        <v>#DIV/0!</v>
      </c>
      <c r="G122" s="359"/>
      <c r="H122" s="220"/>
      <c r="I122" s="220">
        <v>3</v>
      </c>
      <c r="J122" s="220">
        <v>6</v>
      </c>
    </row>
    <row r="123" spans="2:10" ht="23" outlineLevel="1">
      <c r="B123" s="19"/>
      <c r="C123" s="215" t="s">
        <v>51</v>
      </c>
      <c r="D123" s="428"/>
      <c r="E123" s="425"/>
      <c r="F123" s="426"/>
      <c r="G123" s="359"/>
      <c r="H123" s="220"/>
      <c r="I123" s="220"/>
      <c r="J123" s="220"/>
    </row>
    <row r="124" spans="2:10" outlineLevel="1">
      <c r="B124" s="19">
        <f>B122+1</f>
        <v>6</v>
      </c>
      <c r="C124" s="215" t="s">
        <v>52</v>
      </c>
      <c r="D124" s="215"/>
      <c r="E124" s="288" t="e">
        <f t="shared" si="23"/>
        <v>#DIV/0!</v>
      </c>
      <c r="F124" s="216" t="e">
        <f t="shared" si="23"/>
        <v>#DIV/0!</v>
      </c>
      <c r="G124" s="359"/>
      <c r="H124" s="220"/>
      <c r="I124" s="220">
        <v>1</v>
      </c>
      <c r="J124" s="220">
        <v>1</v>
      </c>
    </row>
    <row r="125" spans="2:10" outlineLevel="1">
      <c r="B125" s="19" t="e">
        <f>#REF!+1</f>
        <v>#REF!</v>
      </c>
      <c r="C125" s="217" t="s">
        <v>60</v>
      </c>
      <c r="D125" s="222"/>
      <c r="E125" s="223" t="e">
        <f t="shared" si="23"/>
        <v>#DIV/0!</v>
      </c>
      <c r="F125" s="224" t="e">
        <f t="shared" si="23"/>
        <v>#DIV/0!</v>
      </c>
      <c r="G125" s="359"/>
      <c r="H125" s="220"/>
      <c r="I125" s="220">
        <v>0</v>
      </c>
      <c r="J125" s="220">
        <v>0</v>
      </c>
    </row>
    <row r="126" spans="2:10" outlineLevel="1">
      <c r="B126" s="19" t="e">
        <f t="shared" si="22"/>
        <v>#REF!</v>
      </c>
      <c r="C126" s="217"/>
      <c r="D126" s="217"/>
      <c r="E126" s="218" t="e">
        <f t="shared" si="23"/>
        <v>#DIV/0!</v>
      </c>
      <c r="F126" s="219" t="e">
        <f t="shared" si="23"/>
        <v>#DIV/0!</v>
      </c>
      <c r="G126" s="359"/>
      <c r="H126" s="220"/>
      <c r="I126" s="220">
        <v>0</v>
      </c>
      <c r="J126" s="220">
        <v>0</v>
      </c>
    </row>
    <row r="127" spans="2:10" outlineLevel="1">
      <c r="B127" s="19">
        <v>10</v>
      </c>
      <c r="C127" s="361"/>
      <c r="D127" s="362"/>
      <c r="E127" s="157"/>
      <c r="F127" s="157"/>
      <c r="G127" s="359"/>
    </row>
    <row r="128" spans="2:10" outlineLevel="1">
      <c r="B128" s="19">
        <v>11</v>
      </c>
      <c r="C128" s="361"/>
      <c r="D128" s="362"/>
      <c r="E128" s="157"/>
      <c r="F128" s="157"/>
      <c r="G128" s="359"/>
    </row>
    <row r="129" spans="2:10" outlineLevel="1">
      <c r="B129" s="19">
        <v>12</v>
      </c>
      <c r="C129" s="361"/>
      <c r="D129" s="362"/>
      <c r="E129" s="157"/>
      <c r="F129" s="157"/>
      <c r="G129" s="359"/>
    </row>
    <row r="130" spans="2:10" outlineLevel="1">
      <c r="B130" s="19">
        <v>13</v>
      </c>
      <c r="C130" s="361"/>
      <c r="D130" s="362"/>
      <c r="E130" s="157"/>
      <c r="F130" s="157"/>
      <c r="G130" s="359"/>
    </row>
    <row r="131" spans="2:10" outlineLevel="1">
      <c r="B131" s="19">
        <v>14</v>
      </c>
      <c r="C131" s="361"/>
      <c r="D131" s="362"/>
      <c r="E131" s="157"/>
      <c r="F131" s="157"/>
      <c r="G131" s="359"/>
    </row>
    <row r="132" spans="2:10" outlineLevel="1">
      <c r="B132" s="18">
        <v>15</v>
      </c>
      <c r="C132" s="363"/>
      <c r="D132" s="364"/>
      <c r="E132" s="158"/>
      <c r="F132" s="158"/>
      <c r="G132" s="360"/>
    </row>
    <row r="134" spans="2:10">
      <c r="C134" s="356" t="s">
        <v>43</v>
      </c>
      <c r="D134" s="357"/>
      <c r="E134" s="15" t="s">
        <v>44</v>
      </c>
      <c r="F134" s="15" t="s">
        <v>45</v>
      </c>
      <c r="G134" s="16" t="s">
        <v>46</v>
      </c>
    </row>
    <row r="135" spans="2:10" ht="23">
      <c r="B135" s="19" t="s">
        <v>49</v>
      </c>
      <c r="C135" s="433" t="s">
        <v>1730</v>
      </c>
      <c r="D135" s="225"/>
      <c r="E135" s="226" t="e">
        <f>SUM(E136:E144)</f>
        <v>#DIV/0!</v>
      </c>
      <c r="F135" s="227" t="e">
        <f>SUM(F136:F144)</f>
        <v>#DIV/0!</v>
      </c>
      <c r="G135" s="358" t="s">
        <v>1779</v>
      </c>
      <c r="I135" s="220"/>
      <c r="J135" s="220"/>
    </row>
    <row r="136" spans="2:10" outlineLevel="1">
      <c r="B136" s="19">
        <v>1</v>
      </c>
      <c r="C136" s="215" t="s">
        <v>55</v>
      </c>
      <c r="D136" s="215"/>
      <c r="E136" s="288" t="e">
        <f>I136/$H$9</f>
        <v>#DIV/0!</v>
      </c>
      <c r="F136" s="288" t="e">
        <f>J136/$H$9</f>
        <v>#DIV/0!</v>
      </c>
      <c r="G136" s="359"/>
      <c r="I136" s="220">
        <v>4</v>
      </c>
      <c r="J136" s="220">
        <v>8</v>
      </c>
    </row>
    <row r="137" spans="2:10" outlineLevel="1">
      <c r="B137" s="19">
        <f t="shared" ref="B137:B144" si="24">B136+1</f>
        <v>2</v>
      </c>
      <c r="C137" s="215" t="s">
        <v>56</v>
      </c>
      <c r="D137" s="215"/>
      <c r="E137" s="288" t="e">
        <f t="shared" ref="E137:F144" si="25">I137/$H$9</f>
        <v>#DIV/0!</v>
      </c>
      <c r="F137" s="288" t="e">
        <f t="shared" si="25"/>
        <v>#DIV/0!</v>
      </c>
      <c r="G137" s="359"/>
      <c r="I137" s="220">
        <v>4</v>
      </c>
      <c r="J137" s="220">
        <v>8</v>
      </c>
    </row>
    <row r="138" spans="2:10" outlineLevel="1">
      <c r="B138" s="19">
        <f t="shared" si="24"/>
        <v>3</v>
      </c>
      <c r="C138" s="220" t="s">
        <v>57</v>
      </c>
      <c r="D138" s="220"/>
      <c r="E138" s="288" t="e">
        <f t="shared" si="25"/>
        <v>#DIV/0!</v>
      </c>
      <c r="F138" s="288" t="e">
        <f t="shared" si="25"/>
        <v>#DIV/0!</v>
      </c>
      <c r="G138" s="359"/>
      <c r="I138" s="220">
        <v>3</v>
      </c>
      <c r="J138" s="220">
        <v>6</v>
      </c>
    </row>
    <row r="139" spans="2:10" outlineLevel="1">
      <c r="B139" s="19">
        <f t="shared" si="24"/>
        <v>4</v>
      </c>
      <c r="C139" s="221" t="s">
        <v>62</v>
      </c>
      <c r="D139" s="221"/>
      <c r="E139" s="288" t="e">
        <f t="shared" si="25"/>
        <v>#DIV/0!</v>
      </c>
      <c r="F139" s="288" t="e">
        <f t="shared" si="25"/>
        <v>#DIV/0!</v>
      </c>
      <c r="G139" s="359"/>
      <c r="I139" s="220">
        <v>12</v>
      </c>
      <c r="J139" s="220">
        <v>24</v>
      </c>
    </row>
    <row r="140" spans="2:10" outlineLevel="1">
      <c r="B140" s="19" t="e">
        <f>#REF!+1</f>
        <v>#REF!</v>
      </c>
      <c r="C140" s="221" t="s">
        <v>58</v>
      </c>
      <c r="D140" s="221"/>
      <c r="E140" s="288" t="e">
        <f t="shared" si="25"/>
        <v>#DIV/0!</v>
      </c>
      <c r="F140" s="288" t="e">
        <f t="shared" si="25"/>
        <v>#DIV/0!</v>
      </c>
      <c r="G140" s="359"/>
      <c r="I140" s="220">
        <v>6</v>
      </c>
      <c r="J140" s="220">
        <v>12</v>
      </c>
    </row>
    <row r="141" spans="2:10" ht="23" outlineLevel="1">
      <c r="B141" s="19" t="e">
        <f t="shared" si="24"/>
        <v>#REF!</v>
      </c>
      <c r="C141" s="215" t="s">
        <v>51</v>
      </c>
      <c r="D141" s="215"/>
      <c r="E141" s="288" t="e">
        <f t="shared" si="25"/>
        <v>#DIV/0!</v>
      </c>
      <c r="F141" s="216" t="e">
        <f t="shared" si="25"/>
        <v>#DIV/0!</v>
      </c>
      <c r="G141" s="359"/>
      <c r="I141" s="220">
        <v>3</v>
      </c>
      <c r="J141" s="220">
        <v>6</v>
      </c>
    </row>
    <row r="142" spans="2:10" outlineLevel="1">
      <c r="B142" s="19" t="e">
        <f t="shared" si="24"/>
        <v>#REF!</v>
      </c>
      <c r="C142" s="215" t="s">
        <v>52</v>
      </c>
      <c r="D142" s="222"/>
      <c r="E142" s="223" t="e">
        <f t="shared" si="25"/>
        <v>#DIV/0!</v>
      </c>
      <c r="F142" s="224" t="e">
        <f t="shared" si="25"/>
        <v>#DIV/0!</v>
      </c>
      <c r="G142" s="359"/>
      <c r="I142" s="220">
        <v>12</v>
      </c>
      <c r="J142" s="220">
        <v>18</v>
      </c>
    </row>
    <row r="143" spans="2:10" outlineLevel="1">
      <c r="B143" s="19" t="e">
        <f>#REF!+1</f>
        <v>#REF!</v>
      </c>
      <c r="C143" s="217" t="s">
        <v>60</v>
      </c>
      <c r="D143" s="222"/>
      <c r="E143" s="288" t="e">
        <f t="shared" si="25"/>
        <v>#DIV/0!</v>
      </c>
      <c r="F143" s="288" t="e">
        <f t="shared" si="25"/>
        <v>#DIV/0!</v>
      </c>
      <c r="G143" s="359"/>
      <c r="I143" s="220">
        <v>1</v>
      </c>
      <c r="J143" s="220">
        <v>2</v>
      </c>
    </row>
    <row r="144" spans="2:10" outlineLevel="1">
      <c r="B144" s="19" t="e">
        <f t="shared" si="24"/>
        <v>#REF!</v>
      </c>
      <c r="C144" s="220"/>
      <c r="D144" s="220"/>
      <c r="E144" s="288" t="e">
        <f t="shared" si="25"/>
        <v>#DIV/0!</v>
      </c>
      <c r="F144" s="288" t="e">
        <f t="shared" si="25"/>
        <v>#DIV/0!</v>
      </c>
      <c r="G144" s="359"/>
      <c r="I144" s="220">
        <v>0</v>
      </c>
      <c r="J144" s="220">
        <v>0</v>
      </c>
    </row>
    <row r="145" spans="2:10" outlineLevel="1">
      <c r="B145" s="18">
        <v>15</v>
      </c>
      <c r="C145" s="209"/>
      <c r="D145" s="210"/>
      <c r="E145" s="158"/>
      <c r="F145" s="158"/>
      <c r="G145" s="360"/>
    </row>
    <row r="147" spans="2:10">
      <c r="C147" s="356" t="s">
        <v>43</v>
      </c>
      <c r="D147" s="357"/>
      <c r="E147" s="15" t="s">
        <v>44</v>
      </c>
      <c r="F147" s="15" t="s">
        <v>45</v>
      </c>
      <c r="G147" s="16" t="s">
        <v>46</v>
      </c>
    </row>
    <row r="148" spans="2:10" ht="15.75" customHeight="1">
      <c r="B148" s="19" t="s">
        <v>49</v>
      </c>
      <c r="C148" s="225" t="s">
        <v>1731</v>
      </c>
      <c r="D148" s="225"/>
      <c r="E148" s="226" t="e">
        <f>SUM(E149:E155)</f>
        <v>#DIV/0!</v>
      </c>
      <c r="F148" s="227" t="e">
        <f>SUM(F149:F155)</f>
        <v>#DIV/0!</v>
      </c>
      <c r="G148" s="358" t="s">
        <v>1740</v>
      </c>
    </row>
    <row r="149" spans="2:10" outlineLevel="1">
      <c r="B149" s="19">
        <v>1</v>
      </c>
      <c r="C149" s="215" t="s">
        <v>55</v>
      </c>
      <c r="D149" s="215"/>
      <c r="E149" s="288" t="e">
        <f t="shared" ref="E149:F155" si="26">I149/$H$9</f>
        <v>#DIV/0!</v>
      </c>
      <c r="F149" s="288" t="e">
        <f t="shared" si="26"/>
        <v>#DIV/0!</v>
      </c>
      <c r="G149" s="359"/>
      <c r="I149" s="220">
        <v>4</v>
      </c>
      <c r="J149" s="220">
        <v>12</v>
      </c>
    </row>
    <row r="150" spans="2:10" outlineLevel="1">
      <c r="B150" s="19">
        <f>B149+1</f>
        <v>2</v>
      </c>
      <c r="C150" s="215" t="s">
        <v>1732</v>
      </c>
      <c r="D150" s="215"/>
      <c r="E150" s="288" t="e">
        <f t="shared" si="26"/>
        <v>#DIV/0!</v>
      </c>
      <c r="F150" s="288" t="e">
        <f t="shared" si="26"/>
        <v>#DIV/0!</v>
      </c>
      <c r="G150" s="359"/>
      <c r="I150" s="220">
        <v>4</v>
      </c>
      <c r="J150" s="220">
        <v>8</v>
      </c>
    </row>
    <row r="151" spans="2:10" outlineLevel="1">
      <c r="B151" s="19"/>
      <c r="C151" s="220" t="s">
        <v>57</v>
      </c>
      <c r="D151" s="424"/>
      <c r="E151" s="425"/>
      <c r="F151" s="425"/>
      <c r="G151" s="359"/>
      <c r="I151" s="220"/>
      <c r="J151" s="220"/>
    </row>
    <row r="152" spans="2:10" outlineLevel="1">
      <c r="B152" s="19">
        <f>B150+1</f>
        <v>3</v>
      </c>
      <c r="C152" s="221" t="s">
        <v>62</v>
      </c>
      <c r="D152" s="215"/>
      <c r="E152" s="288" t="e">
        <f t="shared" si="26"/>
        <v>#DIV/0!</v>
      </c>
      <c r="F152" s="288" t="e">
        <f t="shared" si="26"/>
        <v>#DIV/0!</v>
      </c>
      <c r="G152" s="359"/>
      <c r="I152" s="220">
        <v>4</v>
      </c>
      <c r="J152" s="220">
        <v>8</v>
      </c>
    </row>
    <row r="153" spans="2:10" outlineLevel="1">
      <c r="B153" s="19">
        <f>B152+1</f>
        <v>4</v>
      </c>
      <c r="C153" s="215" t="s">
        <v>64</v>
      </c>
      <c r="D153" s="215"/>
      <c r="E153" s="288" t="e">
        <f t="shared" si="26"/>
        <v>#DIV/0!</v>
      </c>
      <c r="F153" s="288" t="e">
        <f t="shared" si="26"/>
        <v>#DIV/0!</v>
      </c>
      <c r="G153" s="359"/>
      <c r="I153" s="220">
        <v>2</v>
      </c>
      <c r="J153" s="220">
        <v>4</v>
      </c>
    </row>
    <row r="154" spans="2:10" ht="23" outlineLevel="1">
      <c r="B154" s="19"/>
      <c r="C154" s="215" t="s">
        <v>51</v>
      </c>
      <c r="D154" s="427"/>
      <c r="E154" s="425"/>
      <c r="F154" s="425"/>
      <c r="G154" s="359"/>
      <c r="I154" s="220"/>
      <c r="J154" s="220"/>
    </row>
    <row r="155" spans="2:10" outlineLevel="1">
      <c r="B155" s="19">
        <f>B153+1</f>
        <v>5</v>
      </c>
      <c r="C155" s="217" t="s">
        <v>65</v>
      </c>
      <c r="D155" s="222"/>
      <c r="E155" s="288" t="e">
        <f t="shared" si="26"/>
        <v>#DIV/0!</v>
      </c>
      <c r="F155" s="288" t="e">
        <f t="shared" si="26"/>
        <v>#DIV/0!</v>
      </c>
      <c r="G155" s="359"/>
      <c r="I155" s="220">
        <v>2</v>
      </c>
      <c r="J155" s="220">
        <v>4</v>
      </c>
    </row>
    <row r="156" spans="2:10" outlineLevel="1">
      <c r="B156" s="19">
        <v>6</v>
      </c>
      <c r="C156" s="217" t="s">
        <v>60</v>
      </c>
      <c r="D156" s="317"/>
      <c r="E156" s="318"/>
      <c r="F156" s="319"/>
      <c r="G156" s="359"/>
    </row>
    <row r="157" spans="2:10" outlineLevel="1">
      <c r="B157" s="19">
        <v>7</v>
      </c>
      <c r="D157" s="317"/>
      <c r="E157" s="318"/>
      <c r="F157" s="319"/>
      <c r="G157" s="359"/>
    </row>
    <row r="158" spans="2:10" outlineLevel="1">
      <c r="B158" s="19">
        <v>8</v>
      </c>
      <c r="C158" s="361"/>
      <c r="D158" s="362"/>
      <c r="E158" s="157"/>
      <c r="F158" s="157"/>
      <c r="G158" s="359"/>
    </row>
    <row r="159" spans="2:10" outlineLevel="1">
      <c r="B159" s="19">
        <v>9</v>
      </c>
      <c r="C159" s="361"/>
      <c r="D159" s="362"/>
      <c r="E159" s="157"/>
      <c r="F159" s="157"/>
      <c r="G159" s="359"/>
    </row>
    <row r="160" spans="2:10" outlineLevel="1">
      <c r="B160" s="19">
        <v>10</v>
      </c>
      <c r="C160" s="361"/>
      <c r="D160" s="362"/>
      <c r="E160" s="157"/>
      <c r="F160" s="157"/>
      <c r="G160" s="359"/>
    </row>
    <row r="161" spans="2:10" outlineLevel="1">
      <c r="B161" s="19">
        <v>11</v>
      </c>
      <c r="C161" s="361"/>
      <c r="D161" s="362"/>
      <c r="E161" s="157"/>
      <c r="F161" s="157"/>
      <c r="G161" s="359"/>
    </row>
    <row r="162" spans="2:10" outlineLevel="1">
      <c r="B162" s="19">
        <v>12</v>
      </c>
      <c r="C162" s="361"/>
      <c r="D162" s="362"/>
      <c r="E162" s="157"/>
      <c r="F162" s="157"/>
      <c r="G162" s="359"/>
    </row>
    <row r="163" spans="2:10" outlineLevel="1">
      <c r="B163" s="19">
        <v>13</v>
      </c>
      <c r="C163" s="361"/>
      <c r="D163" s="362"/>
      <c r="E163" s="157"/>
      <c r="F163" s="157"/>
      <c r="G163" s="359"/>
    </row>
    <row r="164" spans="2:10" outlineLevel="1">
      <c r="B164" s="19">
        <v>14</v>
      </c>
      <c r="C164" s="361"/>
      <c r="D164" s="362"/>
      <c r="E164" s="157"/>
      <c r="F164" s="157"/>
      <c r="G164" s="359"/>
    </row>
    <row r="165" spans="2:10" outlineLevel="1">
      <c r="B165" s="18">
        <v>15</v>
      </c>
      <c r="C165" s="363"/>
      <c r="D165" s="364"/>
      <c r="E165" s="158"/>
      <c r="F165" s="158"/>
      <c r="G165" s="360"/>
    </row>
    <row r="166" spans="2:10" outlineLevel="1">
      <c r="B166" s="421"/>
      <c r="C166" s="421"/>
      <c r="D166" s="422"/>
      <c r="E166" s="423"/>
      <c r="F166" s="423"/>
      <c r="G166" s="354"/>
    </row>
    <row r="167" spans="2:10">
      <c r="C167" s="356" t="s">
        <v>43</v>
      </c>
      <c r="D167" s="357"/>
      <c r="E167" s="15" t="s">
        <v>44</v>
      </c>
      <c r="F167" s="15" t="s">
        <v>45</v>
      </c>
      <c r="G167" s="16" t="s">
        <v>46</v>
      </c>
    </row>
    <row r="168" spans="2:10">
      <c r="B168" s="19" t="s">
        <v>49</v>
      </c>
      <c r="C168" s="225" t="s">
        <v>1735</v>
      </c>
      <c r="D168" s="225"/>
      <c r="E168" s="226" t="e">
        <f>SUM(E169:E173)</f>
        <v>#DIV/0!</v>
      </c>
      <c r="F168" s="227" t="e">
        <f>SUM(F169:F173)</f>
        <v>#DIV/0!</v>
      </c>
      <c r="G168" s="358" t="s">
        <v>1736</v>
      </c>
    </row>
    <row r="169" spans="2:10" ht="39" customHeight="1">
      <c r="B169" s="19">
        <v>1</v>
      </c>
      <c r="C169" s="215" t="s">
        <v>55</v>
      </c>
      <c r="D169" s="215"/>
      <c r="E169" s="288" t="e">
        <f t="shared" ref="E169:E173" si="27">I169/$H$9</f>
        <v>#DIV/0!</v>
      </c>
      <c r="F169" s="288" t="e">
        <f t="shared" ref="F169:F173" si="28">J169/$H$9</f>
        <v>#DIV/0!</v>
      </c>
      <c r="G169" s="359"/>
    </row>
    <row r="170" spans="2:10" outlineLevel="1">
      <c r="B170" s="19">
        <f>B169+1</f>
        <v>2</v>
      </c>
      <c r="C170" s="215" t="s">
        <v>1732</v>
      </c>
      <c r="D170" s="215"/>
      <c r="E170" s="288" t="e">
        <f t="shared" si="27"/>
        <v>#DIV/0!</v>
      </c>
      <c r="F170" s="288" t="e">
        <f t="shared" si="28"/>
        <v>#DIV/0!</v>
      </c>
      <c r="G170" s="359"/>
      <c r="I170" s="220">
        <v>0.5</v>
      </c>
      <c r="J170" s="220">
        <v>1</v>
      </c>
    </row>
    <row r="171" spans="2:10" outlineLevel="1">
      <c r="B171" s="19">
        <f>B170+1</f>
        <v>3</v>
      </c>
      <c r="C171" s="220" t="s">
        <v>57</v>
      </c>
      <c r="D171" s="220"/>
      <c r="E171" s="288" t="e">
        <f t="shared" si="27"/>
        <v>#DIV/0!</v>
      </c>
      <c r="F171" s="288" t="e">
        <f t="shared" si="28"/>
        <v>#DIV/0!</v>
      </c>
      <c r="G171" s="359"/>
      <c r="I171" s="220">
        <v>0.5</v>
      </c>
      <c r="J171" s="220">
        <v>1</v>
      </c>
    </row>
    <row r="172" spans="2:10" outlineLevel="1">
      <c r="B172" s="19">
        <f>B171+1</f>
        <v>4</v>
      </c>
      <c r="C172" s="221" t="s">
        <v>62</v>
      </c>
      <c r="D172" s="221"/>
      <c r="E172" s="288" t="e">
        <f t="shared" si="27"/>
        <v>#DIV/0!</v>
      </c>
      <c r="F172" s="288" t="e">
        <f t="shared" si="28"/>
        <v>#DIV/0!</v>
      </c>
      <c r="G172" s="359"/>
      <c r="I172" s="220">
        <v>0.5</v>
      </c>
      <c r="J172" s="220">
        <v>1</v>
      </c>
    </row>
    <row r="173" spans="2:10" outlineLevel="1">
      <c r="B173" s="19">
        <f>B172+1</f>
        <v>5</v>
      </c>
      <c r="C173" s="215" t="s">
        <v>64</v>
      </c>
      <c r="D173" s="215"/>
      <c r="E173" s="288" t="e">
        <f t="shared" si="27"/>
        <v>#DIV/0!</v>
      </c>
      <c r="F173" s="288" t="e">
        <f t="shared" si="28"/>
        <v>#DIV/0!</v>
      </c>
      <c r="G173" s="359"/>
      <c r="I173" s="220">
        <v>6</v>
      </c>
      <c r="J173" s="220">
        <v>8</v>
      </c>
    </row>
    <row r="174" spans="2:10" ht="23" outlineLevel="1">
      <c r="B174" s="19">
        <v>6</v>
      </c>
      <c r="C174" s="215" t="s">
        <v>51</v>
      </c>
      <c r="D174" s="215"/>
      <c r="E174" s="318"/>
      <c r="F174" s="319"/>
      <c r="G174" s="359"/>
      <c r="I174" s="220">
        <v>0.5</v>
      </c>
      <c r="J174" s="220">
        <v>1</v>
      </c>
    </row>
    <row r="175" spans="2:10" outlineLevel="1">
      <c r="B175" s="19">
        <v>7</v>
      </c>
      <c r="C175" s="217" t="s">
        <v>65</v>
      </c>
      <c r="D175" s="217"/>
      <c r="E175" s="318"/>
      <c r="F175" s="319"/>
      <c r="G175" s="359"/>
      <c r="I175" s="220">
        <v>0.5</v>
      </c>
      <c r="J175" s="220">
        <v>1</v>
      </c>
    </row>
    <row r="176" spans="2:10" outlineLevel="1">
      <c r="B176" s="19">
        <v>8</v>
      </c>
      <c r="C176" s="217" t="s">
        <v>60</v>
      </c>
      <c r="D176" s="217"/>
      <c r="E176" s="157"/>
      <c r="F176" s="157"/>
      <c r="G176" s="359"/>
    </row>
    <row r="177" spans="2:7" outlineLevel="1">
      <c r="B177" s="19">
        <v>9</v>
      </c>
      <c r="C177" s="361"/>
      <c r="D177" s="362"/>
      <c r="E177" s="157"/>
      <c r="F177" s="157"/>
      <c r="G177" s="359"/>
    </row>
    <row r="178" spans="2:7" outlineLevel="1">
      <c r="B178" s="19">
        <v>10</v>
      </c>
      <c r="C178" s="361"/>
      <c r="D178" s="362"/>
      <c r="E178" s="157"/>
      <c r="F178" s="157"/>
      <c r="G178" s="359"/>
    </row>
    <row r="179" spans="2:7" outlineLevel="1">
      <c r="B179" s="19">
        <v>11</v>
      </c>
      <c r="C179" s="361"/>
      <c r="D179" s="362"/>
      <c r="E179" s="157"/>
      <c r="F179" s="157"/>
      <c r="G179" s="359"/>
    </row>
    <row r="180" spans="2:7" outlineLevel="1">
      <c r="B180" s="19">
        <v>12</v>
      </c>
      <c r="C180" s="361"/>
      <c r="D180" s="362"/>
      <c r="E180" s="157"/>
      <c r="F180" s="157"/>
      <c r="G180" s="359"/>
    </row>
    <row r="181" spans="2:7" outlineLevel="1">
      <c r="B181" s="19">
        <v>13</v>
      </c>
      <c r="C181" s="361"/>
      <c r="D181" s="362"/>
      <c r="E181" s="157"/>
      <c r="F181" s="157"/>
      <c r="G181" s="359"/>
    </row>
    <row r="182" spans="2:7" outlineLevel="1">
      <c r="B182" s="19">
        <v>14</v>
      </c>
      <c r="C182" s="361"/>
      <c r="D182" s="362"/>
      <c r="E182" s="157"/>
      <c r="F182" s="157"/>
      <c r="G182" s="359"/>
    </row>
    <row r="183" spans="2:7" outlineLevel="1">
      <c r="B183" s="18">
        <v>15</v>
      </c>
      <c r="C183" s="363"/>
      <c r="D183" s="364"/>
      <c r="E183" s="158"/>
      <c r="F183" s="158"/>
      <c r="G183" s="360"/>
    </row>
    <row r="184" spans="2:7" outlineLevel="1">
      <c r="B184" s="421"/>
      <c r="C184" s="421"/>
      <c r="D184" s="422"/>
      <c r="E184" s="423"/>
      <c r="F184" s="423"/>
      <c r="G184" s="354"/>
    </row>
    <row r="185" spans="2:7" outlineLevel="1">
      <c r="C185" s="356" t="s">
        <v>43</v>
      </c>
      <c r="D185" s="357"/>
      <c r="E185" s="15" t="s">
        <v>44</v>
      </c>
      <c r="F185" s="15" t="s">
        <v>45</v>
      </c>
      <c r="G185" s="16" t="s">
        <v>46</v>
      </c>
    </row>
    <row r="186" spans="2:7" outlineLevel="1">
      <c r="B186" s="19" t="s">
        <v>49</v>
      </c>
      <c r="C186" s="5" t="s">
        <v>1782</v>
      </c>
      <c r="D186" s="228"/>
      <c r="E186" s="226" t="e">
        <f>SUM(E187:E193)</f>
        <v>#DIV/0!</v>
      </c>
      <c r="F186" s="227" t="e">
        <f>SUM(F187:F193)</f>
        <v>#DIV/0!</v>
      </c>
      <c r="G186" s="358" t="s">
        <v>1805</v>
      </c>
    </row>
    <row r="187" spans="2:7">
      <c r="B187" s="19">
        <v>1</v>
      </c>
      <c r="C187" s="215" t="s">
        <v>55</v>
      </c>
      <c r="D187" s="215"/>
      <c r="E187" s="288" t="e">
        <f>I263/$H$9</f>
        <v>#DIV/0!</v>
      </c>
      <c r="F187" s="288" t="e">
        <f>J263/$H$9</f>
        <v>#DIV/0!</v>
      </c>
      <c r="G187" s="359"/>
    </row>
    <row r="188" spans="2:7">
      <c r="B188" s="19">
        <f>B187+1</f>
        <v>2</v>
      </c>
      <c r="C188" s="215" t="s">
        <v>1732</v>
      </c>
      <c r="D188" s="215"/>
      <c r="E188" s="288" t="e">
        <f>I264/$H$9</f>
        <v>#DIV/0!</v>
      </c>
      <c r="F188" s="288" t="e">
        <f>J264/$H$9</f>
        <v>#DIV/0!</v>
      </c>
      <c r="G188" s="359"/>
    </row>
    <row r="189" spans="2:7">
      <c r="B189" s="19">
        <f>B188+1</f>
        <v>3</v>
      </c>
      <c r="C189" s="220" t="s">
        <v>57</v>
      </c>
      <c r="D189" s="220"/>
      <c r="E189" s="288" t="e">
        <f>I265/$H$9</f>
        <v>#DIV/0!</v>
      </c>
      <c r="F189" s="288" t="e">
        <f>J265/$H$9</f>
        <v>#DIV/0!</v>
      </c>
      <c r="G189" s="359"/>
    </row>
    <row r="190" spans="2:7">
      <c r="B190" s="19">
        <f>B188+1</f>
        <v>3</v>
      </c>
      <c r="C190" s="221" t="s">
        <v>62</v>
      </c>
      <c r="D190" s="221"/>
      <c r="E190" s="288" t="e">
        <f>I266/$H$9</f>
        <v>#DIV/0!</v>
      </c>
      <c r="F190" s="288" t="e">
        <f>J266/$H$9</f>
        <v>#DIV/0!</v>
      </c>
      <c r="G190" s="359"/>
    </row>
    <row r="191" spans="2:7">
      <c r="B191" s="19">
        <f>B189+1</f>
        <v>4</v>
      </c>
      <c r="C191" s="215" t="s">
        <v>64</v>
      </c>
      <c r="D191" s="215"/>
      <c r="E191" s="288" t="e">
        <f>I267/$H$9</f>
        <v>#DIV/0!</v>
      </c>
      <c r="F191" s="288" t="e">
        <f>J267/$H$9</f>
        <v>#DIV/0!</v>
      </c>
      <c r="G191" s="359"/>
    </row>
    <row r="192" spans="2:7" ht="23">
      <c r="B192" s="19">
        <f>B191+1</f>
        <v>5</v>
      </c>
      <c r="C192" s="215" t="s">
        <v>51</v>
      </c>
      <c r="D192" s="215"/>
      <c r="E192" s="288" t="e">
        <f>I268/$H$9</f>
        <v>#DIV/0!</v>
      </c>
      <c r="F192" s="288" t="e">
        <f>J268/$H$9</f>
        <v>#DIV/0!</v>
      </c>
      <c r="G192" s="359"/>
    </row>
    <row r="193" spans="2:7">
      <c r="B193" s="19">
        <v>7</v>
      </c>
      <c r="C193" s="217" t="s">
        <v>65</v>
      </c>
      <c r="D193" s="217"/>
      <c r="E193" s="318"/>
      <c r="F193" s="319"/>
      <c r="G193" s="359"/>
    </row>
    <row r="194" spans="2:7">
      <c r="B194" s="19">
        <v>8</v>
      </c>
      <c r="C194" s="217" t="s">
        <v>60</v>
      </c>
      <c r="D194" s="217"/>
      <c r="E194" s="157"/>
      <c r="F194" s="157"/>
      <c r="G194" s="359"/>
    </row>
    <row r="195" spans="2:7">
      <c r="B195" s="19">
        <v>9</v>
      </c>
      <c r="C195" s="361"/>
      <c r="D195" s="362"/>
      <c r="E195" s="157"/>
      <c r="F195" s="157"/>
      <c r="G195" s="359"/>
    </row>
    <row r="196" spans="2:7">
      <c r="B196" s="19">
        <v>10</v>
      </c>
      <c r="C196" s="361"/>
      <c r="D196" s="362"/>
      <c r="E196" s="157"/>
      <c r="F196" s="157"/>
      <c r="G196" s="359"/>
    </row>
    <row r="197" spans="2:7">
      <c r="B197" s="19">
        <v>11</v>
      </c>
      <c r="C197" s="361"/>
      <c r="D197" s="362"/>
      <c r="E197" s="157"/>
      <c r="F197" s="157"/>
      <c r="G197" s="359"/>
    </row>
    <row r="198" spans="2:7">
      <c r="B198" s="19">
        <v>12</v>
      </c>
      <c r="C198" s="361"/>
      <c r="D198" s="362"/>
      <c r="E198" s="157"/>
      <c r="F198" s="157"/>
      <c r="G198" s="359"/>
    </row>
    <row r="199" spans="2:7">
      <c r="B199" s="19">
        <v>13</v>
      </c>
      <c r="C199" s="361"/>
      <c r="D199" s="362"/>
      <c r="E199" s="157"/>
      <c r="F199" s="157"/>
      <c r="G199" s="359"/>
    </row>
    <row r="200" spans="2:7">
      <c r="B200" s="19">
        <v>14</v>
      </c>
      <c r="C200" s="361"/>
      <c r="D200" s="362"/>
      <c r="E200" s="157"/>
      <c r="F200" s="157"/>
      <c r="G200" s="359"/>
    </row>
    <row r="201" spans="2:7">
      <c r="B201" s="18">
        <v>15</v>
      </c>
      <c r="C201" s="363"/>
      <c r="D201" s="364"/>
      <c r="E201" s="158"/>
      <c r="F201" s="158"/>
      <c r="G201" s="360"/>
    </row>
    <row r="202" spans="2:7">
      <c r="B202" s="421"/>
      <c r="C202" s="421"/>
      <c r="D202" s="421"/>
      <c r="E202" s="429"/>
      <c r="F202" s="429"/>
      <c r="G202" s="430"/>
    </row>
    <row r="203" spans="2:7">
      <c r="C203" s="356" t="s">
        <v>43</v>
      </c>
      <c r="D203" s="357"/>
      <c r="E203" s="15" t="s">
        <v>44</v>
      </c>
      <c r="F203" s="15" t="s">
        <v>45</v>
      </c>
      <c r="G203" s="16" t="s">
        <v>46</v>
      </c>
    </row>
    <row r="204" spans="2:7" ht="23">
      <c r="B204" s="19" t="s">
        <v>49</v>
      </c>
      <c r="C204" s="433" t="s">
        <v>1742</v>
      </c>
      <c r="D204" s="225"/>
      <c r="E204" s="226" t="e">
        <f>SUM(E205:E214)</f>
        <v>#DIV/0!</v>
      </c>
      <c r="F204" s="226" t="e">
        <f>SUM(F205:F214)</f>
        <v>#DIV/0!</v>
      </c>
      <c r="G204" s="358" t="s">
        <v>1743</v>
      </c>
    </row>
    <row r="205" spans="2:7">
      <c r="B205" s="19">
        <v>1</v>
      </c>
      <c r="C205" s="215" t="s">
        <v>55</v>
      </c>
      <c r="D205" s="221"/>
      <c r="E205" s="288" t="e">
        <f>I188/$H$9</f>
        <v>#DIV/0!</v>
      </c>
      <c r="F205" s="288" t="e">
        <f>J188/$H$9</f>
        <v>#DIV/0!</v>
      </c>
      <c r="G205" s="359"/>
    </row>
    <row r="206" spans="2:7">
      <c r="B206" s="19">
        <f t="shared" ref="B206:B214" si="29">B205+1</f>
        <v>2</v>
      </c>
      <c r="C206" s="215" t="s">
        <v>1732</v>
      </c>
      <c r="D206" s="221"/>
      <c r="E206" s="288" t="e">
        <f t="shared" ref="E206:E214" si="30">I189/$H$9</f>
        <v>#DIV/0!</v>
      </c>
      <c r="F206" s="288" t="e">
        <f t="shared" ref="F206:F214" si="31">J189/$H$9</f>
        <v>#DIV/0!</v>
      </c>
      <c r="G206" s="359"/>
    </row>
    <row r="207" spans="2:7">
      <c r="B207" s="19">
        <f t="shared" si="29"/>
        <v>3</v>
      </c>
      <c r="C207" s="220" t="s">
        <v>57</v>
      </c>
      <c r="D207" s="221"/>
      <c r="E207" s="288" t="e">
        <f t="shared" si="30"/>
        <v>#DIV/0!</v>
      </c>
      <c r="F207" s="288" t="e">
        <f t="shared" si="31"/>
        <v>#DIV/0!</v>
      </c>
      <c r="G207" s="359"/>
    </row>
    <row r="208" spans="2:7" ht="27.75" customHeight="1">
      <c r="B208" s="19">
        <f t="shared" si="29"/>
        <v>4</v>
      </c>
      <c r="C208" s="221" t="s">
        <v>62</v>
      </c>
      <c r="D208" s="321"/>
      <c r="E208" s="288" t="e">
        <f t="shared" si="30"/>
        <v>#DIV/0!</v>
      </c>
      <c r="F208" s="288" t="e">
        <f t="shared" si="31"/>
        <v>#DIV/0!</v>
      </c>
      <c r="G208" s="359"/>
    </row>
    <row r="209" spans="2:10" outlineLevel="1">
      <c r="B209" s="19">
        <f t="shared" si="29"/>
        <v>5</v>
      </c>
      <c r="C209" s="215" t="s">
        <v>64</v>
      </c>
      <c r="D209" s="321"/>
      <c r="E209" s="288" t="e">
        <f t="shared" si="30"/>
        <v>#DIV/0!</v>
      </c>
      <c r="F209" s="288" t="e">
        <f t="shared" si="31"/>
        <v>#DIV/0!</v>
      </c>
      <c r="G209" s="359"/>
      <c r="I209" s="220">
        <v>0.5</v>
      </c>
      <c r="J209" s="220">
        <v>1</v>
      </c>
    </row>
    <row r="210" spans="2:10" ht="23" outlineLevel="1">
      <c r="B210" s="19">
        <f t="shared" si="29"/>
        <v>6</v>
      </c>
      <c r="C210" s="215" t="s">
        <v>51</v>
      </c>
      <c r="D210" s="321"/>
      <c r="E210" s="288" t="e">
        <f t="shared" si="30"/>
        <v>#DIV/0!</v>
      </c>
      <c r="F210" s="288" t="e">
        <f t="shared" si="31"/>
        <v>#DIV/0!</v>
      </c>
      <c r="G210" s="359"/>
      <c r="I210" s="220">
        <v>0.5</v>
      </c>
      <c r="J210" s="220">
        <v>1</v>
      </c>
    </row>
    <row r="211" spans="2:10" outlineLevel="1">
      <c r="B211" s="19"/>
      <c r="C211" s="217" t="s">
        <v>65</v>
      </c>
      <c r="E211" s="288" t="e">
        <f t="shared" si="30"/>
        <v>#DIV/0!</v>
      </c>
      <c r="F211" s="288" t="e">
        <f t="shared" si="31"/>
        <v>#DIV/0!</v>
      </c>
      <c r="G211" s="359"/>
      <c r="I211" s="220">
        <v>1</v>
      </c>
      <c r="J211" s="220">
        <v>1.5</v>
      </c>
    </row>
    <row r="212" spans="2:10" outlineLevel="1">
      <c r="B212" s="19">
        <f>B209+1</f>
        <v>6</v>
      </c>
      <c r="C212" s="217" t="s">
        <v>60</v>
      </c>
      <c r="D212" s="321"/>
      <c r="E212" s="288" t="e">
        <f t="shared" si="30"/>
        <v>#DIV/0!</v>
      </c>
      <c r="F212" s="288" t="e">
        <f t="shared" si="31"/>
        <v>#DIV/0!</v>
      </c>
      <c r="G212" s="359"/>
      <c r="I212" s="220">
        <v>8</v>
      </c>
      <c r="J212" s="220">
        <v>10</v>
      </c>
    </row>
    <row r="213" spans="2:10" ht="23" outlineLevel="1">
      <c r="B213" s="19">
        <f t="shared" si="29"/>
        <v>7</v>
      </c>
      <c r="C213" s="321" t="s">
        <v>67</v>
      </c>
      <c r="D213" s="321"/>
      <c r="E213" s="288" t="e">
        <f t="shared" si="30"/>
        <v>#DIV/0!</v>
      </c>
      <c r="F213" s="288" t="e">
        <f t="shared" si="31"/>
        <v>#DIV/0!</v>
      </c>
      <c r="G213" s="359"/>
      <c r="I213" s="220">
        <v>0.5</v>
      </c>
      <c r="J213" s="220">
        <v>1</v>
      </c>
    </row>
    <row r="214" spans="2:10" outlineLevel="1">
      <c r="B214" s="19">
        <f t="shared" si="29"/>
        <v>8</v>
      </c>
      <c r="C214" s="321"/>
      <c r="D214" s="321"/>
      <c r="E214" s="288" t="e">
        <f t="shared" si="30"/>
        <v>#DIV/0!</v>
      </c>
      <c r="F214" s="288" t="e">
        <f t="shared" si="31"/>
        <v>#DIV/0!</v>
      </c>
      <c r="G214" s="359"/>
      <c r="I214" s="220">
        <v>1</v>
      </c>
      <c r="J214" s="220">
        <v>2</v>
      </c>
    </row>
    <row r="215" spans="2:10" outlineLevel="1">
      <c r="B215" s="19">
        <v>9</v>
      </c>
      <c r="C215" s="361"/>
      <c r="D215" s="362"/>
      <c r="E215" s="157"/>
      <c r="F215" s="157"/>
      <c r="G215" s="359"/>
      <c r="I215" s="220">
        <v>6</v>
      </c>
      <c r="J215" s="220">
        <v>8</v>
      </c>
    </row>
    <row r="216" spans="2:10" outlineLevel="1">
      <c r="B216" s="19">
        <v>10</v>
      </c>
      <c r="C216" s="361"/>
      <c r="D216" s="362"/>
      <c r="E216" s="157"/>
      <c r="F216" s="157"/>
      <c r="G216" s="359"/>
      <c r="I216" s="220">
        <v>0.5</v>
      </c>
      <c r="J216" s="220">
        <v>1</v>
      </c>
    </row>
    <row r="217" spans="2:10" outlineLevel="1">
      <c r="B217" s="19">
        <v>11</v>
      </c>
      <c r="C217" s="361"/>
      <c r="D217" s="362"/>
      <c r="E217" s="157"/>
      <c r="F217" s="157"/>
      <c r="G217" s="359"/>
    </row>
    <row r="218" spans="2:10" outlineLevel="1">
      <c r="B218" s="19">
        <v>12</v>
      </c>
      <c r="C218" s="361"/>
      <c r="D218" s="362"/>
      <c r="E218" s="157"/>
      <c r="F218" s="157"/>
      <c r="G218" s="359"/>
    </row>
    <row r="219" spans="2:10" outlineLevel="1">
      <c r="B219" s="19">
        <v>13</v>
      </c>
      <c r="C219" s="361"/>
      <c r="D219" s="362"/>
      <c r="E219" s="157"/>
      <c r="F219" s="157"/>
      <c r="G219" s="359"/>
    </row>
    <row r="220" spans="2:10" outlineLevel="1">
      <c r="B220" s="19">
        <v>14</v>
      </c>
      <c r="C220" s="361"/>
      <c r="D220" s="362"/>
      <c r="E220" s="157"/>
      <c r="F220" s="157"/>
      <c r="G220" s="359"/>
    </row>
    <row r="221" spans="2:10" outlineLevel="1">
      <c r="B221" s="18">
        <v>15</v>
      </c>
      <c r="C221" s="363"/>
      <c r="D221" s="364"/>
      <c r="E221" s="158"/>
      <c r="F221" s="158"/>
      <c r="G221" s="360"/>
    </row>
    <row r="222" spans="2:10" outlineLevel="1"/>
    <row r="223" spans="2:10" outlineLevel="1"/>
    <row r="224" spans="2:10">
      <c r="C224" s="356" t="s">
        <v>43</v>
      </c>
      <c r="D224" s="357"/>
      <c r="E224" s="15" t="s">
        <v>44</v>
      </c>
      <c r="F224" s="15" t="s">
        <v>45</v>
      </c>
      <c r="G224" s="16" t="s">
        <v>46</v>
      </c>
    </row>
    <row r="225" spans="2:10">
      <c r="B225" s="19" t="s">
        <v>49</v>
      </c>
      <c r="C225" s="225" t="s">
        <v>1733</v>
      </c>
      <c r="D225" s="225"/>
      <c r="E225" s="226" t="e">
        <f>SUM(E226:E233)</f>
        <v>#DIV/0!</v>
      </c>
      <c r="F225" s="226" t="e">
        <f>SUM(F226:F233)</f>
        <v>#DIV/0!</v>
      </c>
      <c r="G225" s="358" t="s">
        <v>1780</v>
      </c>
    </row>
    <row r="226" spans="2:10" ht="27.75" customHeight="1">
      <c r="B226" s="19">
        <v>1</v>
      </c>
      <c r="C226" s="215" t="s">
        <v>55</v>
      </c>
      <c r="D226" s="221"/>
      <c r="E226" s="288" t="e">
        <f>I209/$H$9</f>
        <v>#DIV/0!</v>
      </c>
      <c r="F226" s="288" t="e">
        <f>J209/$H$9</f>
        <v>#DIV/0!</v>
      </c>
      <c r="G226" s="359"/>
    </row>
    <row r="227" spans="2:10" outlineLevel="1">
      <c r="B227" s="19">
        <f t="shared" ref="B227:B231" si="32">B226+1</f>
        <v>2</v>
      </c>
      <c r="C227" s="215" t="s">
        <v>1732</v>
      </c>
      <c r="D227" s="221"/>
      <c r="E227" s="288" t="e">
        <f t="shared" ref="E227:F233" si="33">I210/$H$9</f>
        <v>#DIV/0!</v>
      </c>
      <c r="F227" s="288" t="e">
        <f t="shared" si="33"/>
        <v>#DIV/0!</v>
      </c>
      <c r="G227" s="359"/>
      <c r="I227" s="220">
        <v>1</v>
      </c>
      <c r="J227" s="220">
        <v>1</v>
      </c>
    </row>
    <row r="228" spans="2:10" outlineLevel="1">
      <c r="B228" s="19">
        <f t="shared" si="32"/>
        <v>3</v>
      </c>
      <c r="C228" s="215" t="s">
        <v>57</v>
      </c>
      <c r="D228" s="221"/>
      <c r="E228" s="288" t="e">
        <f t="shared" si="33"/>
        <v>#DIV/0!</v>
      </c>
      <c r="F228" s="288" t="e">
        <f t="shared" si="33"/>
        <v>#DIV/0!</v>
      </c>
      <c r="G228" s="359"/>
      <c r="I228" s="220">
        <v>1</v>
      </c>
      <c r="J228" s="220">
        <v>1</v>
      </c>
    </row>
    <row r="229" spans="2:10" outlineLevel="1">
      <c r="B229" s="19">
        <f t="shared" si="32"/>
        <v>4</v>
      </c>
      <c r="C229" s="215" t="s">
        <v>62</v>
      </c>
      <c r="D229" s="321"/>
      <c r="E229" s="288" t="e">
        <f t="shared" si="33"/>
        <v>#DIV/0!</v>
      </c>
      <c r="F229" s="288" t="e">
        <f t="shared" si="33"/>
        <v>#DIV/0!</v>
      </c>
      <c r="G229" s="359"/>
      <c r="I229" s="220">
        <v>1</v>
      </c>
      <c r="J229" s="220">
        <v>2</v>
      </c>
    </row>
    <row r="230" spans="2:10" outlineLevel="1">
      <c r="B230" s="19">
        <f t="shared" si="32"/>
        <v>5</v>
      </c>
      <c r="C230" s="215" t="s">
        <v>64</v>
      </c>
      <c r="D230" s="321"/>
      <c r="E230" s="288" t="e">
        <f t="shared" si="33"/>
        <v>#DIV/0!</v>
      </c>
      <c r="F230" s="288" t="e">
        <f t="shared" si="33"/>
        <v>#DIV/0!</v>
      </c>
      <c r="G230" s="359"/>
      <c r="I230" s="220">
        <v>10</v>
      </c>
      <c r="J230" s="220">
        <v>12</v>
      </c>
    </row>
    <row r="231" spans="2:10" ht="23" outlineLevel="1">
      <c r="B231" s="19">
        <f t="shared" si="32"/>
        <v>6</v>
      </c>
      <c r="C231" s="215" t="s">
        <v>51</v>
      </c>
      <c r="D231" s="321"/>
      <c r="E231" s="288" t="e">
        <f t="shared" ref="E231" si="34">I214/$H$9</f>
        <v>#DIV/0!</v>
      </c>
      <c r="F231" s="288" t="e">
        <f t="shared" ref="F231" si="35">J214/$H$9</f>
        <v>#DIV/0!</v>
      </c>
      <c r="G231" s="359"/>
      <c r="I231" s="220">
        <v>2</v>
      </c>
      <c r="J231" s="220">
        <v>3</v>
      </c>
    </row>
    <row r="232" spans="2:10" outlineLevel="1">
      <c r="B232" s="19">
        <v>7</v>
      </c>
      <c r="C232" s="217" t="s">
        <v>65</v>
      </c>
      <c r="D232" s="321"/>
      <c r="E232" s="288" t="e">
        <f t="shared" si="33"/>
        <v>#DIV/0!</v>
      </c>
      <c r="F232" s="288" t="e">
        <f t="shared" si="33"/>
        <v>#DIV/0!</v>
      </c>
      <c r="G232" s="359"/>
      <c r="I232" s="220">
        <v>1</v>
      </c>
      <c r="J232" s="220">
        <v>1</v>
      </c>
    </row>
    <row r="233" spans="2:10" outlineLevel="1">
      <c r="B233" s="19">
        <v>8</v>
      </c>
      <c r="C233" s="217" t="s">
        <v>60</v>
      </c>
      <c r="D233" s="321"/>
      <c r="E233" s="288" t="e">
        <f t="shared" si="33"/>
        <v>#DIV/0!</v>
      </c>
      <c r="F233" s="288" t="e">
        <f t="shared" si="33"/>
        <v>#DIV/0!</v>
      </c>
      <c r="G233" s="359"/>
      <c r="I233" s="220">
        <v>3</v>
      </c>
      <c r="J233" s="220">
        <v>5</v>
      </c>
    </row>
    <row r="234" spans="2:10" outlineLevel="1">
      <c r="B234" s="19">
        <v>9</v>
      </c>
      <c r="C234" s="321"/>
      <c r="D234" s="321"/>
      <c r="E234" s="157"/>
      <c r="F234" s="157"/>
      <c r="G234" s="359"/>
      <c r="I234" s="220">
        <v>1</v>
      </c>
      <c r="J234" s="220">
        <v>1</v>
      </c>
    </row>
    <row r="235" spans="2:10" outlineLevel="1">
      <c r="B235" s="19">
        <v>10</v>
      </c>
      <c r="C235" s="361"/>
      <c r="D235" s="362"/>
      <c r="E235" s="157"/>
      <c r="F235" s="157"/>
      <c r="G235" s="359"/>
    </row>
    <row r="236" spans="2:10" outlineLevel="1">
      <c r="B236" s="19">
        <v>11</v>
      </c>
      <c r="C236" s="361"/>
      <c r="D236" s="362"/>
      <c r="E236" s="157"/>
      <c r="F236" s="157"/>
      <c r="G236" s="359"/>
    </row>
    <row r="237" spans="2:10" outlineLevel="1">
      <c r="B237" s="19">
        <v>12</v>
      </c>
      <c r="C237" s="361"/>
      <c r="D237" s="362"/>
      <c r="E237" s="321"/>
      <c r="F237" s="157"/>
      <c r="G237" s="359"/>
    </row>
    <row r="238" spans="2:10" outlineLevel="1">
      <c r="B238" s="19">
        <v>13</v>
      </c>
      <c r="C238" s="361"/>
      <c r="D238" s="362"/>
      <c r="E238" s="157"/>
      <c r="F238" s="157"/>
      <c r="G238" s="359"/>
    </row>
    <row r="239" spans="2:10" outlineLevel="1">
      <c r="B239" s="19">
        <v>14</v>
      </c>
      <c r="C239" s="361"/>
      <c r="D239" s="362"/>
      <c r="E239" s="157"/>
      <c r="F239" s="157"/>
      <c r="G239" s="359"/>
    </row>
    <row r="240" spans="2:10" outlineLevel="1">
      <c r="B240" s="18">
        <v>15</v>
      </c>
      <c r="C240" s="363"/>
      <c r="D240" s="364"/>
      <c r="E240" s="158"/>
      <c r="F240" s="158"/>
      <c r="G240" s="360"/>
    </row>
    <row r="241" spans="2:10" outlineLevel="1"/>
    <row r="242" spans="2:10">
      <c r="C242" s="356" t="s">
        <v>43</v>
      </c>
      <c r="D242" s="357"/>
      <c r="E242" s="15" t="s">
        <v>44</v>
      </c>
      <c r="F242" s="15" t="s">
        <v>45</v>
      </c>
      <c r="G242" s="16" t="s">
        <v>46</v>
      </c>
    </row>
    <row r="243" spans="2:10">
      <c r="B243" s="19" t="s">
        <v>49</v>
      </c>
      <c r="C243" s="225" t="s">
        <v>1744</v>
      </c>
      <c r="D243" s="225"/>
      <c r="E243" s="226" t="e">
        <f>SUM(E244:E251)</f>
        <v>#DIV/0!</v>
      </c>
      <c r="F243" s="226" t="e">
        <f>SUM(F244:F251)</f>
        <v>#DIV/0!</v>
      </c>
      <c r="G243" s="358" t="s">
        <v>1781</v>
      </c>
    </row>
    <row r="244" spans="2:10">
      <c r="B244" s="19">
        <v>1</v>
      </c>
      <c r="C244" s="215" t="s">
        <v>55</v>
      </c>
      <c r="D244" s="221"/>
      <c r="E244" s="288" t="e">
        <f t="shared" ref="E244:F251" si="36">I227/$H$9</f>
        <v>#DIV/0!</v>
      </c>
      <c r="F244" s="288" t="e">
        <f t="shared" si="36"/>
        <v>#DIV/0!</v>
      </c>
      <c r="G244" s="359"/>
    </row>
    <row r="245" spans="2:10" outlineLevel="1">
      <c r="B245" s="19">
        <f t="shared" ref="B245:B248" si="37">B244+1</f>
        <v>2</v>
      </c>
      <c r="C245" s="215" t="s">
        <v>1732</v>
      </c>
      <c r="D245" s="221"/>
      <c r="E245" s="288" t="e">
        <f t="shared" si="36"/>
        <v>#DIV/0!</v>
      </c>
      <c r="F245" s="288" t="e">
        <f t="shared" si="36"/>
        <v>#DIV/0!</v>
      </c>
      <c r="G245" s="359"/>
      <c r="I245" s="220">
        <v>0.5</v>
      </c>
      <c r="J245" s="220">
        <v>1</v>
      </c>
    </row>
    <row r="246" spans="2:10" outlineLevel="1">
      <c r="B246" s="19">
        <f t="shared" si="37"/>
        <v>3</v>
      </c>
      <c r="C246" s="220" t="s">
        <v>57</v>
      </c>
      <c r="D246" s="221"/>
      <c r="E246" s="288" t="e">
        <f t="shared" si="36"/>
        <v>#DIV/0!</v>
      </c>
      <c r="F246" s="288" t="e">
        <f t="shared" si="36"/>
        <v>#DIV/0!</v>
      </c>
      <c r="G246" s="359"/>
      <c r="I246" s="220">
        <v>0.5</v>
      </c>
      <c r="J246" s="220">
        <v>1</v>
      </c>
    </row>
    <row r="247" spans="2:10" outlineLevel="1">
      <c r="B247" s="19">
        <f t="shared" si="37"/>
        <v>4</v>
      </c>
      <c r="C247" s="221" t="s">
        <v>62</v>
      </c>
      <c r="D247" s="321"/>
      <c r="E247" s="288" t="e">
        <f t="shared" si="36"/>
        <v>#DIV/0!</v>
      </c>
      <c r="F247" s="288" t="e">
        <f t="shared" si="36"/>
        <v>#DIV/0!</v>
      </c>
      <c r="G247" s="359"/>
      <c r="I247" s="220">
        <v>0.5</v>
      </c>
      <c r="J247" s="220">
        <v>1</v>
      </c>
    </row>
    <row r="248" spans="2:10" outlineLevel="1">
      <c r="B248" s="19">
        <f t="shared" si="37"/>
        <v>5</v>
      </c>
      <c r="C248" s="215" t="s">
        <v>64</v>
      </c>
      <c r="D248" s="321"/>
      <c r="E248" s="288" t="e">
        <f t="shared" si="36"/>
        <v>#DIV/0!</v>
      </c>
      <c r="F248" s="288" t="e">
        <f t="shared" si="36"/>
        <v>#DIV/0!</v>
      </c>
      <c r="G248" s="359"/>
      <c r="I248" s="220">
        <v>4</v>
      </c>
      <c r="J248" s="220">
        <v>6</v>
      </c>
    </row>
    <row r="249" spans="2:10" ht="23" outlineLevel="1">
      <c r="B249" s="19">
        <v>6</v>
      </c>
      <c r="C249" s="215" t="s">
        <v>51</v>
      </c>
      <c r="D249" s="321"/>
      <c r="E249" s="288" t="e">
        <f t="shared" si="36"/>
        <v>#DIV/0!</v>
      </c>
      <c r="F249" s="288" t="e">
        <f t="shared" si="36"/>
        <v>#DIV/0!</v>
      </c>
      <c r="G249" s="359"/>
      <c r="I249" s="220">
        <v>1</v>
      </c>
      <c r="J249" s="220">
        <v>2</v>
      </c>
    </row>
    <row r="250" spans="2:10" outlineLevel="1">
      <c r="B250" s="19">
        <v>7</v>
      </c>
      <c r="C250" s="217" t="s">
        <v>65</v>
      </c>
      <c r="E250" s="288" t="e">
        <f t="shared" si="36"/>
        <v>#DIV/0!</v>
      </c>
      <c r="F250" s="288" t="e">
        <f t="shared" si="36"/>
        <v>#DIV/0!</v>
      </c>
      <c r="G250" s="359"/>
      <c r="I250" s="220">
        <v>2</v>
      </c>
      <c r="J250" s="220">
        <v>4</v>
      </c>
    </row>
    <row r="251" spans="2:10" outlineLevel="1">
      <c r="B251" s="19">
        <v>8</v>
      </c>
      <c r="C251" s="217" t="s">
        <v>60</v>
      </c>
      <c r="D251" s="321"/>
      <c r="E251" s="288" t="e">
        <f t="shared" si="36"/>
        <v>#DIV/0!</v>
      </c>
      <c r="F251" s="288" t="e">
        <f t="shared" si="36"/>
        <v>#DIV/0!</v>
      </c>
      <c r="G251" s="359"/>
    </row>
    <row r="252" spans="2:10" ht="15.5" customHeight="1" outlineLevel="1">
      <c r="B252" s="19">
        <v>9</v>
      </c>
      <c r="C252" s="361"/>
      <c r="D252" s="362"/>
      <c r="E252" s="157"/>
      <c r="F252" s="157"/>
      <c r="G252" s="359"/>
    </row>
    <row r="253" spans="2:10" outlineLevel="1">
      <c r="B253" s="19">
        <v>10</v>
      </c>
      <c r="C253" s="361"/>
      <c r="D253" s="362"/>
      <c r="E253" s="157"/>
      <c r="F253" s="157"/>
      <c r="G253" s="359"/>
    </row>
    <row r="254" spans="2:10" outlineLevel="1">
      <c r="B254" s="19">
        <v>11</v>
      </c>
      <c r="C254" s="361"/>
      <c r="D254" s="362"/>
      <c r="E254" s="157"/>
      <c r="F254" s="157"/>
      <c r="G254" s="359"/>
    </row>
    <row r="255" spans="2:10" outlineLevel="1">
      <c r="B255" s="19">
        <v>12</v>
      </c>
      <c r="C255" s="361"/>
      <c r="D255" s="362"/>
      <c r="E255" s="157"/>
      <c r="F255" s="157"/>
      <c r="G255" s="359"/>
    </row>
    <row r="256" spans="2:10" outlineLevel="1">
      <c r="B256" s="19">
        <v>13</v>
      </c>
      <c r="C256" s="361"/>
      <c r="D256" s="362"/>
      <c r="E256" s="157"/>
      <c r="F256" s="157"/>
      <c r="G256" s="359"/>
    </row>
    <row r="257" spans="2:10" outlineLevel="1">
      <c r="B257" s="19">
        <v>14</v>
      </c>
      <c r="C257" s="361"/>
      <c r="D257" s="362"/>
      <c r="E257" s="157"/>
      <c r="F257" s="157"/>
      <c r="G257" s="359"/>
    </row>
    <row r="258" spans="2:10" outlineLevel="1">
      <c r="B258" s="18">
        <v>15</v>
      </c>
      <c r="C258" s="363"/>
      <c r="D258" s="364"/>
      <c r="E258" s="158"/>
      <c r="F258" s="158"/>
      <c r="G258" s="360"/>
    </row>
    <row r="259" spans="2:10" outlineLevel="1"/>
    <row r="260" spans="2:10">
      <c r="C260" s="356" t="s">
        <v>43</v>
      </c>
      <c r="D260" s="357"/>
      <c r="E260" s="15" t="s">
        <v>44</v>
      </c>
      <c r="F260" s="15" t="s">
        <v>45</v>
      </c>
      <c r="G260" s="16" t="s">
        <v>46</v>
      </c>
    </row>
    <row r="261" spans="2:10">
      <c r="B261" s="19" t="s">
        <v>49</v>
      </c>
      <c r="C261" s="450" t="s">
        <v>1746</v>
      </c>
      <c r="D261" s="228"/>
      <c r="E261" s="226" t="e">
        <f>SUM(E262:E268)</f>
        <v>#DIV/0!</v>
      </c>
      <c r="F261" s="227" t="e">
        <f>SUM(F262:F268)</f>
        <v>#DIV/0!</v>
      </c>
      <c r="G261" s="358" t="s">
        <v>1745</v>
      </c>
    </row>
    <row r="262" spans="2:10">
      <c r="B262" s="19">
        <v>1</v>
      </c>
      <c r="C262" s="215" t="s">
        <v>55</v>
      </c>
      <c r="D262" s="215"/>
      <c r="E262" s="288" t="e">
        <f>I245/$H$9</f>
        <v>#DIV/0!</v>
      </c>
      <c r="F262" s="288" t="e">
        <f>J245/$H$9</f>
        <v>#DIV/0!</v>
      </c>
      <c r="G262" s="359"/>
    </row>
    <row r="263" spans="2:10" outlineLevel="1">
      <c r="B263" s="19">
        <f>B262+1</f>
        <v>2</v>
      </c>
      <c r="C263" s="215" t="s">
        <v>1732</v>
      </c>
      <c r="D263" s="221"/>
      <c r="E263" s="288" t="e">
        <f t="shared" ref="E263:F267" si="38">I246/$H$9</f>
        <v>#DIV/0!</v>
      </c>
      <c r="F263" s="288" t="e">
        <f t="shared" si="38"/>
        <v>#DIV/0!</v>
      </c>
      <c r="G263" s="359"/>
      <c r="I263" s="220">
        <v>1</v>
      </c>
      <c r="J263" s="220">
        <v>1.5</v>
      </c>
    </row>
    <row r="264" spans="2:10" outlineLevel="1">
      <c r="B264" s="19">
        <f>B263+1</f>
        <v>3</v>
      </c>
      <c r="C264" s="220" t="s">
        <v>57</v>
      </c>
      <c r="D264" s="229"/>
      <c r="E264" s="288" t="e">
        <f t="shared" si="38"/>
        <v>#DIV/0!</v>
      </c>
      <c r="F264" s="288" t="e">
        <f t="shared" si="38"/>
        <v>#DIV/0!</v>
      </c>
      <c r="G264" s="359"/>
      <c r="I264" s="220">
        <v>1</v>
      </c>
      <c r="J264" s="220">
        <v>1.5</v>
      </c>
    </row>
    <row r="265" spans="2:10" outlineLevel="1">
      <c r="B265" s="19">
        <f>B263+1</f>
        <v>3</v>
      </c>
      <c r="C265" s="221" t="s">
        <v>62</v>
      </c>
      <c r="D265" s="221"/>
      <c r="E265" s="288" t="e">
        <f t="shared" si="38"/>
        <v>#DIV/0!</v>
      </c>
      <c r="F265" s="288" t="e">
        <f t="shared" si="38"/>
        <v>#DIV/0!</v>
      </c>
      <c r="G265" s="359"/>
      <c r="I265" s="220">
        <v>1</v>
      </c>
      <c r="J265" s="220">
        <v>1.5</v>
      </c>
    </row>
    <row r="266" spans="2:10" outlineLevel="1">
      <c r="B266" s="19">
        <f>B264+1</f>
        <v>4</v>
      </c>
      <c r="C266" s="215" t="s">
        <v>64</v>
      </c>
      <c r="D266" s="215"/>
      <c r="E266" s="288" t="e">
        <f t="shared" si="38"/>
        <v>#DIV/0!</v>
      </c>
      <c r="F266" s="288" t="e">
        <f t="shared" si="38"/>
        <v>#DIV/0!</v>
      </c>
      <c r="G266" s="359"/>
      <c r="I266" s="220">
        <v>6</v>
      </c>
      <c r="J266" s="220">
        <v>8</v>
      </c>
    </row>
    <row r="267" spans="2:10" ht="23" outlineLevel="1">
      <c r="B267" s="19">
        <f>B266+1</f>
        <v>5</v>
      </c>
      <c r="C267" s="215" t="s">
        <v>51</v>
      </c>
      <c r="D267" s="215"/>
      <c r="E267" s="288" t="e">
        <f t="shared" si="38"/>
        <v>#DIV/0!</v>
      </c>
      <c r="F267" s="288" t="e">
        <f t="shared" si="38"/>
        <v>#DIV/0!</v>
      </c>
      <c r="G267" s="359"/>
      <c r="I267" s="220">
        <v>1</v>
      </c>
      <c r="J267" s="220">
        <v>2</v>
      </c>
    </row>
    <row r="268" spans="2:10" outlineLevel="1">
      <c r="B268" s="19">
        <v>7</v>
      </c>
      <c r="C268" s="217" t="s">
        <v>65</v>
      </c>
      <c r="D268" s="317"/>
      <c r="E268" s="318"/>
      <c r="F268" s="319"/>
      <c r="G268" s="359"/>
      <c r="I268" s="220">
        <v>2</v>
      </c>
      <c r="J268" s="220">
        <v>4</v>
      </c>
    </row>
    <row r="269" spans="2:10" outlineLevel="1">
      <c r="B269" s="19">
        <v>8</v>
      </c>
      <c r="C269" s="217" t="s">
        <v>60</v>
      </c>
      <c r="D269" s="317"/>
      <c r="E269" s="318"/>
      <c r="F269" s="319"/>
      <c r="G269" s="359"/>
    </row>
    <row r="270" spans="2:10" outlineLevel="1">
      <c r="B270" s="19">
        <v>9</v>
      </c>
      <c r="C270" s="361"/>
      <c r="D270" s="362"/>
      <c r="E270" s="157"/>
      <c r="F270" s="157"/>
      <c r="G270" s="359"/>
    </row>
    <row r="271" spans="2:10" outlineLevel="1">
      <c r="B271" s="19">
        <v>10</v>
      </c>
      <c r="C271" s="361"/>
      <c r="D271" s="362"/>
      <c r="E271" s="157"/>
      <c r="F271" s="157"/>
      <c r="G271" s="359"/>
    </row>
    <row r="272" spans="2:10" outlineLevel="1">
      <c r="B272" s="19">
        <v>11</v>
      </c>
      <c r="C272" s="361"/>
      <c r="D272" s="362"/>
      <c r="E272" s="157"/>
      <c r="F272" s="157"/>
      <c r="G272" s="359"/>
    </row>
    <row r="273" spans="2:10" outlineLevel="1">
      <c r="B273" s="19">
        <v>12</v>
      </c>
      <c r="C273" s="361"/>
      <c r="D273" s="362"/>
      <c r="E273" s="157"/>
      <c r="F273" s="157"/>
      <c r="G273" s="359"/>
    </row>
    <row r="274" spans="2:10" outlineLevel="1">
      <c r="B274" s="19">
        <v>13</v>
      </c>
      <c r="C274" s="361"/>
      <c r="D274" s="362"/>
      <c r="E274" s="157"/>
      <c r="F274" s="157"/>
      <c r="G274" s="359"/>
    </row>
    <row r="275" spans="2:10" outlineLevel="1">
      <c r="B275" s="19">
        <v>14</v>
      </c>
      <c r="C275" s="361"/>
      <c r="D275" s="362"/>
      <c r="E275" s="157"/>
      <c r="F275" s="157"/>
      <c r="G275" s="359"/>
    </row>
    <row r="276" spans="2:10" outlineLevel="1">
      <c r="B276" s="18">
        <v>15</v>
      </c>
      <c r="C276" s="363"/>
      <c r="D276" s="364"/>
      <c r="E276" s="158"/>
      <c r="F276" s="158"/>
      <c r="G276" s="360"/>
    </row>
    <row r="277" spans="2:10" outlineLevel="1"/>
    <row r="279" spans="2:10">
      <c r="C279" s="356" t="s">
        <v>43</v>
      </c>
      <c r="D279" s="357"/>
      <c r="E279" s="15" t="s">
        <v>44</v>
      </c>
      <c r="F279" s="15" t="s">
        <v>45</v>
      </c>
      <c r="G279" s="16" t="s">
        <v>46</v>
      </c>
    </row>
    <row r="280" spans="2:10">
      <c r="B280" s="19" t="s">
        <v>49</v>
      </c>
      <c r="C280" t="s">
        <v>1749</v>
      </c>
      <c r="D280" s="228"/>
      <c r="E280" s="226" t="e">
        <f>SUM(E281:E287)</f>
        <v>#DIV/0!</v>
      </c>
      <c r="F280" s="227" t="e">
        <f>SUM(F281:F287)</f>
        <v>#DIV/0!</v>
      </c>
      <c r="G280" s="434" t="s">
        <v>1783</v>
      </c>
    </row>
    <row r="281" spans="2:10" ht="34.5" outlineLevel="1">
      <c r="B281" s="19">
        <v>1</v>
      </c>
      <c r="C281" s="215" t="s">
        <v>55</v>
      </c>
      <c r="D281" s="215" t="s">
        <v>55</v>
      </c>
      <c r="E281" s="288" t="e">
        <f>I281/$H$9</f>
        <v>#DIV/0!</v>
      </c>
      <c r="F281" s="288" t="e">
        <f>J281/$H$9</f>
        <v>#DIV/0!</v>
      </c>
      <c r="G281" s="435"/>
      <c r="I281" s="220">
        <v>2</v>
      </c>
      <c r="J281" s="220">
        <v>3</v>
      </c>
    </row>
    <row r="282" spans="2:10" ht="23" outlineLevel="1">
      <c r="B282" s="19">
        <f>B281+1</f>
        <v>2</v>
      </c>
      <c r="C282" s="215" t="s">
        <v>1732</v>
      </c>
      <c r="D282" s="215" t="s">
        <v>1732</v>
      </c>
      <c r="E282" s="288" t="e">
        <f t="shared" ref="E282:F286" si="39">I282/$H$9</f>
        <v>#DIV/0!</v>
      </c>
      <c r="F282" s="288" t="e">
        <f t="shared" si="39"/>
        <v>#DIV/0!</v>
      </c>
      <c r="G282" s="435"/>
      <c r="I282" s="220">
        <v>2</v>
      </c>
      <c r="J282" s="220">
        <v>3</v>
      </c>
    </row>
    <row r="283" spans="2:10" ht="23" outlineLevel="1">
      <c r="B283" s="19">
        <f>B282+1</f>
        <v>3</v>
      </c>
      <c r="C283" s="220" t="s">
        <v>57</v>
      </c>
      <c r="D283" s="220" t="s">
        <v>57</v>
      </c>
      <c r="E283" s="288" t="e">
        <f t="shared" si="39"/>
        <v>#DIV/0!</v>
      </c>
      <c r="F283" s="288" t="e">
        <f t="shared" si="39"/>
        <v>#DIV/0!</v>
      </c>
      <c r="G283" s="435"/>
      <c r="I283" s="220">
        <v>2</v>
      </c>
      <c r="J283" s="220">
        <v>3</v>
      </c>
    </row>
    <row r="284" spans="2:10" ht="34.5" outlineLevel="1">
      <c r="B284" s="19">
        <f>B282+1</f>
        <v>3</v>
      </c>
      <c r="C284" s="221" t="s">
        <v>62</v>
      </c>
      <c r="D284" s="221" t="s">
        <v>62</v>
      </c>
      <c r="E284" s="288" t="e">
        <f t="shared" si="39"/>
        <v>#DIV/0!</v>
      </c>
      <c r="F284" s="288" t="e">
        <f t="shared" si="39"/>
        <v>#DIV/0!</v>
      </c>
      <c r="G284" s="435"/>
      <c r="I284" s="220">
        <v>8</v>
      </c>
      <c r="J284" s="220">
        <v>12</v>
      </c>
    </row>
    <row r="285" spans="2:10" outlineLevel="1">
      <c r="B285" s="19">
        <f>B283+1</f>
        <v>4</v>
      </c>
      <c r="C285" s="215" t="s">
        <v>64</v>
      </c>
      <c r="D285" s="215" t="s">
        <v>64</v>
      </c>
      <c r="E285" s="288" t="e">
        <f t="shared" si="39"/>
        <v>#DIV/0!</v>
      </c>
      <c r="F285" s="288" t="e">
        <f t="shared" si="39"/>
        <v>#DIV/0!</v>
      </c>
      <c r="G285" s="435"/>
      <c r="I285" s="220">
        <v>2</v>
      </c>
      <c r="J285" s="220">
        <v>3</v>
      </c>
    </row>
    <row r="286" spans="2:10" ht="34.5" outlineLevel="1">
      <c r="B286" s="19">
        <f>B285+1</f>
        <v>5</v>
      </c>
      <c r="C286" s="215" t="s">
        <v>51</v>
      </c>
      <c r="D286" s="215" t="s">
        <v>51</v>
      </c>
      <c r="E286" s="288" t="e">
        <f t="shared" si="39"/>
        <v>#DIV/0!</v>
      </c>
      <c r="F286" s="288" t="e">
        <f t="shared" si="39"/>
        <v>#DIV/0!</v>
      </c>
      <c r="G286" s="435"/>
      <c r="I286" s="220">
        <v>4</v>
      </c>
      <c r="J286" s="220">
        <v>6</v>
      </c>
    </row>
    <row r="287" spans="2:10" ht="23" outlineLevel="1">
      <c r="B287" s="19">
        <v>7</v>
      </c>
      <c r="C287" s="217" t="s">
        <v>65</v>
      </c>
      <c r="D287" s="217" t="s">
        <v>65</v>
      </c>
      <c r="E287" s="318"/>
      <c r="F287" s="319"/>
      <c r="G287" s="435"/>
    </row>
    <row r="288" spans="2:10" ht="34.5" outlineLevel="1">
      <c r="B288" s="19">
        <v>8</v>
      </c>
      <c r="C288" s="217" t="s">
        <v>60</v>
      </c>
      <c r="D288" s="217" t="s">
        <v>60</v>
      </c>
      <c r="E288" s="157"/>
      <c r="F288" s="157"/>
      <c r="G288" s="435"/>
    </row>
    <row r="289" spans="2:10" outlineLevel="1">
      <c r="B289" s="19">
        <v>9</v>
      </c>
      <c r="C289" s="361"/>
      <c r="D289" s="362"/>
      <c r="E289" s="157"/>
      <c r="F289" s="157"/>
      <c r="G289" s="435"/>
    </row>
    <row r="290" spans="2:10" outlineLevel="1">
      <c r="B290" s="19">
        <v>10</v>
      </c>
      <c r="C290" s="361"/>
      <c r="D290" s="362"/>
      <c r="E290" s="157"/>
      <c r="F290" s="157"/>
      <c r="G290" s="435"/>
    </row>
    <row r="291" spans="2:10" outlineLevel="1">
      <c r="B291" s="19">
        <v>11</v>
      </c>
      <c r="C291" s="361"/>
      <c r="D291" s="362"/>
      <c r="E291" s="157"/>
      <c r="F291" s="157"/>
      <c r="G291" s="435"/>
    </row>
    <row r="292" spans="2:10" outlineLevel="1">
      <c r="B292" s="19">
        <v>12</v>
      </c>
      <c r="C292" s="361"/>
      <c r="D292" s="362"/>
      <c r="E292" s="157"/>
      <c r="F292" s="157"/>
      <c r="G292" s="435"/>
    </row>
    <row r="293" spans="2:10" outlineLevel="1">
      <c r="B293" s="19">
        <v>13</v>
      </c>
      <c r="C293" s="361"/>
      <c r="D293" s="362"/>
      <c r="E293" s="157"/>
      <c r="F293" s="157"/>
      <c r="G293" s="435"/>
    </row>
    <row r="294" spans="2:10" outlineLevel="1">
      <c r="B294" s="19">
        <v>14</v>
      </c>
      <c r="C294" s="361"/>
      <c r="D294" s="362"/>
      <c r="E294" s="157"/>
      <c r="F294" s="157"/>
      <c r="G294" s="435"/>
    </row>
    <row r="295" spans="2:10" outlineLevel="1">
      <c r="B295" s="18">
        <v>15</v>
      </c>
      <c r="C295" s="363"/>
      <c r="D295" s="364"/>
      <c r="E295" s="158"/>
      <c r="F295" s="158"/>
      <c r="G295" s="436"/>
    </row>
    <row r="297" spans="2:10">
      <c r="C297" s="356" t="s">
        <v>43</v>
      </c>
      <c r="D297" s="357"/>
      <c r="E297" s="15" t="s">
        <v>44</v>
      </c>
      <c r="F297" s="15" t="s">
        <v>45</v>
      </c>
      <c r="G297" s="16" t="s">
        <v>46</v>
      </c>
    </row>
    <row r="298" spans="2:10">
      <c r="B298" s="19" t="s">
        <v>49</v>
      </c>
      <c r="C298" s="225" t="s">
        <v>1785</v>
      </c>
      <c r="D298" s="225"/>
      <c r="E298" s="226" t="e">
        <f>SUM(E299:E309)</f>
        <v>#DIV/0!</v>
      </c>
      <c r="F298" s="227" t="e">
        <f>SUM(F299:F309)</f>
        <v>#DIV/0!</v>
      </c>
      <c r="G298" s="358"/>
    </row>
    <row r="299" spans="2:10" outlineLevel="1">
      <c r="B299" s="19">
        <v>1</v>
      </c>
      <c r="C299" s="221" t="s">
        <v>78</v>
      </c>
      <c r="D299" s="221"/>
      <c r="E299" s="288" t="e">
        <f t="shared" ref="E299:F309" si="40">I299/$H$9</f>
        <v>#DIV/0!</v>
      </c>
      <c r="F299" s="288" t="e">
        <f t="shared" si="40"/>
        <v>#DIV/0!</v>
      </c>
      <c r="G299" s="359"/>
      <c r="I299" s="220">
        <v>2</v>
      </c>
      <c r="J299" s="220">
        <v>4</v>
      </c>
    </row>
    <row r="300" spans="2:10" outlineLevel="1">
      <c r="B300" s="19">
        <f t="shared" ref="B300:B309" si="41">B299+1</f>
        <v>2</v>
      </c>
      <c r="C300" s="215" t="s">
        <v>79</v>
      </c>
      <c r="D300" s="215"/>
      <c r="E300" s="288" t="e">
        <f t="shared" si="40"/>
        <v>#DIV/0!</v>
      </c>
      <c r="F300" s="288" t="e">
        <f t="shared" si="40"/>
        <v>#DIV/0!</v>
      </c>
      <c r="G300" s="359"/>
      <c r="I300" s="220">
        <v>1</v>
      </c>
      <c r="J300" s="220">
        <v>1</v>
      </c>
    </row>
    <row r="301" spans="2:10" outlineLevel="1">
      <c r="B301" s="19" t="e">
        <f>#REF!+1</f>
        <v>#REF!</v>
      </c>
      <c r="C301" s="215" t="s">
        <v>80</v>
      </c>
      <c r="D301" s="215"/>
      <c r="E301" s="288" t="e">
        <f t="shared" si="40"/>
        <v>#DIV/0!</v>
      </c>
      <c r="F301" s="288" t="e">
        <f t="shared" si="40"/>
        <v>#DIV/0!</v>
      </c>
      <c r="G301" s="359"/>
      <c r="I301" s="220">
        <v>2</v>
      </c>
      <c r="J301" s="220">
        <v>3</v>
      </c>
    </row>
    <row r="302" spans="2:10" outlineLevel="1">
      <c r="B302" s="19" t="e">
        <f t="shared" si="41"/>
        <v>#REF!</v>
      </c>
      <c r="C302" s="229" t="s">
        <v>81</v>
      </c>
      <c r="D302" s="229"/>
      <c r="E302" s="288" t="e">
        <f t="shared" si="40"/>
        <v>#DIV/0!</v>
      </c>
      <c r="F302" s="288" t="e">
        <f t="shared" si="40"/>
        <v>#DIV/0!</v>
      </c>
      <c r="G302" s="359"/>
      <c r="I302" s="220">
        <v>2</v>
      </c>
      <c r="J302" s="220">
        <v>4</v>
      </c>
    </row>
    <row r="303" spans="2:10" outlineLevel="1">
      <c r="B303" s="19" t="e">
        <f t="shared" si="41"/>
        <v>#REF!</v>
      </c>
      <c r="C303" s="321" t="s">
        <v>69</v>
      </c>
      <c r="D303" s="321"/>
      <c r="E303" s="288" t="e">
        <f t="shared" si="40"/>
        <v>#DIV/0!</v>
      </c>
      <c r="F303" s="288" t="e">
        <f t="shared" si="40"/>
        <v>#DIV/0!</v>
      </c>
      <c r="G303" s="359"/>
      <c r="I303" s="220">
        <v>1</v>
      </c>
      <c r="J303" s="220">
        <v>2</v>
      </c>
    </row>
    <row r="304" spans="2:10" outlineLevel="1">
      <c r="B304" s="19" t="e">
        <f>B302+1</f>
        <v>#REF!</v>
      </c>
      <c r="C304" s="229" t="s">
        <v>82</v>
      </c>
      <c r="D304" s="229"/>
      <c r="E304" s="288" t="e">
        <f t="shared" si="40"/>
        <v>#DIV/0!</v>
      </c>
      <c r="F304" s="288" t="e">
        <f t="shared" si="40"/>
        <v>#DIV/0!</v>
      </c>
      <c r="G304" s="359"/>
      <c r="I304" s="220">
        <v>1</v>
      </c>
      <c r="J304" s="220">
        <v>1</v>
      </c>
    </row>
    <row r="305" spans="2:10" outlineLevel="1">
      <c r="B305" s="19" t="e">
        <f t="shared" si="41"/>
        <v>#REF!</v>
      </c>
      <c r="C305" s="287" t="s">
        <v>64</v>
      </c>
      <c r="D305" s="287"/>
      <c r="E305" s="288" t="e">
        <f t="shared" si="40"/>
        <v>#DIV/0!</v>
      </c>
      <c r="F305" s="288" t="e">
        <f t="shared" si="40"/>
        <v>#DIV/0!</v>
      </c>
      <c r="G305" s="359"/>
      <c r="I305" s="220">
        <v>1</v>
      </c>
      <c r="J305" s="220">
        <v>1</v>
      </c>
    </row>
    <row r="306" spans="2:10" outlineLevel="1">
      <c r="B306" s="19" t="e">
        <f t="shared" si="41"/>
        <v>#REF!</v>
      </c>
      <c r="C306" s="287" t="s">
        <v>83</v>
      </c>
      <c r="D306" s="287"/>
      <c r="E306" s="288" t="e">
        <f t="shared" si="40"/>
        <v>#DIV/0!</v>
      </c>
      <c r="F306" s="288" t="e">
        <f t="shared" si="40"/>
        <v>#DIV/0!</v>
      </c>
      <c r="G306" s="359"/>
      <c r="I306" s="220">
        <v>1</v>
      </c>
      <c r="J306" s="220">
        <v>2</v>
      </c>
    </row>
    <row r="307" spans="2:10" outlineLevel="1">
      <c r="B307" s="19" t="e">
        <f t="shared" si="41"/>
        <v>#REF!</v>
      </c>
      <c r="C307" s="287" t="s">
        <v>84</v>
      </c>
      <c r="D307" s="287"/>
      <c r="E307" s="288" t="e">
        <f t="shared" si="40"/>
        <v>#DIV/0!</v>
      </c>
      <c r="F307" s="288" t="e">
        <f t="shared" si="40"/>
        <v>#DIV/0!</v>
      </c>
      <c r="G307" s="359"/>
      <c r="I307" s="220">
        <v>2</v>
      </c>
      <c r="J307" s="220">
        <v>4</v>
      </c>
    </row>
    <row r="308" spans="2:10" ht="23" outlineLevel="1">
      <c r="B308" s="19" t="e">
        <f t="shared" si="41"/>
        <v>#REF!</v>
      </c>
      <c r="C308" s="321" t="s">
        <v>85</v>
      </c>
      <c r="D308" s="321"/>
      <c r="E308" s="288" t="e">
        <f t="shared" si="40"/>
        <v>#DIV/0!</v>
      </c>
      <c r="F308" s="288" t="e">
        <f t="shared" si="40"/>
        <v>#DIV/0!</v>
      </c>
      <c r="G308" s="359"/>
      <c r="I308" s="220">
        <v>0</v>
      </c>
      <c r="J308" s="220">
        <v>0</v>
      </c>
    </row>
    <row r="309" spans="2:10" outlineLevel="1">
      <c r="B309" s="19" t="e">
        <f t="shared" si="41"/>
        <v>#REF!</v>
      </c>
      <c r="C309" s="229" t="s">
        <v>86</v>
      </c>
      <c r="D309" s="229"/>
      <c r="E309" s="288" t="e">
        <f t="shared" si="40"/>
        <v>#DIV/0!</v>
      </c>
      <c r="F309" s="288" t="e">
        <f t="shared" si="40"/>
        <v>#DIV/0!</v>
      </c>
      <c r="G309" s="359"/>
      <c r="I309" s="220">
        <v>0.5</v>
      </c>
      <c r="J309" s="220">
        <v>1</v>
      </c>
    </row>
    <row r="310" spans="2:10" outlineLevel="1">
      <c r="B310" s="19">
        <v>12</v>
      </c>
      <c r="C310" s="361"/>
      <c r="D310" s="362"/>
      <c r="E310" s="157"/>
      <c r="F310" s="157"/>
      <c r="G310" s="359"/>
    </row>
    <row r="311" spans="2:10" outlineLevel="1">
      <c r="B311" s="19">
        <v>13</v>
      </c>
      <c r="C311" s="361"/>
      <c r="D311" s="362"/>
      <c r="E311" s="157"/>
      <c r="F311" s="157"/>
      <c r="G311" s="359"/>
    </row>
    <row r="312" spans="2:10" outlineLevel="1">
      <c r="B312" s="19">
        <v>14</v>
      </c>
      <c r="C312" s="361"/>
      <c r="D312" s="362"/>
      <c r="E312" s="157"/>
      <c r="F312" s="157"/>
      <c r="G312" s="359"/>
    </row>
    <row r="313" spans="2:10" outlineLevel="1">
      <c r="B313" s="18">
        <v>15</v>
      </c>
      <c r="C313" s="363"/>
      <c r="D313" s="364"/>
      <c r="E313" s="158"/>
      <c r="F313" s="158"/>
      <c r="G313" s="360"/>
    </row>
    <row r="315" spans="2:10">
      <c r="C315" s="356" t="s">
        <v>43</v>
      </c>
      <c r="D315" s="357"/>
      <c r="E315" s="15" t="s">
        <v>44</v>
      </c>
      <c r="F315" s="15" t="s">
        <v>45</v>
      </c>
      <c r="G315" s="16" t="s">
        <v>46</v>
      </c>
    </row>
    <row r="316" spans="2:10" ht="27.75" customHeight="1">
      <c r="B316" s="19" t="s">
        <v>49</v>
      </c>
      <c r="C316" s="228" t="s">
        <v>1747</v>
      </c>
      <c r="D316" s="230"/>
      <c r="E316" s="227" t="e">
        <f>SUM(E317:E328)</f>
        <v>#DIV/0!</v>
      </c>
      <c r="F316" s="227" t="e">
        <f>SUM(F317:F328)</f>
        <v>#DIV/0!</v>
      </c>
      <c r="G316" s="437" t="s">
        <v>1784</v>
      </c>
    </row>
    <row r="317" spans="2:10" outlineLevel="1">
      <c r="B317" s="19">
        <v>1</v>
      </c>
      <c r="C317" s="221" t="s">
        <v>88</v>
      </c>
      <c r="D317" s="221"/>
      <c r="E317" s="288" t="e">
        <f t="shared" ref="E317:F328" si="42">I317/$H$9</f>
        <v>#DIV/0!</v>
      </c>
      <c r="F317" s="288" t="e">
        <f t="shared" si="42"/>
        <v>#DIV/0!</v>
      </c>
      <c r="G317" s="438"/>
      <c r="I317" s="220">
        <v>4</v>
      </c>
      <c r="J317" s="220">
        <v>6</v>
      </c>
    </row>
    <row r="318" spans="2:10" outlineLevel="1">
      <c r="B318" s="19">
        <f>B317+1</f>
        <v>2</v>
      </c>
      <c r="C318" s="215" t="s">
        <v>79</v>
      </c>
      <c r="D318" s="215"/>
      <c r="E318" s="288" t="e">
        <f t="shared" si="42"/>
        <v>#DIV/0!</v>
      </c>
      <c r="F318" s="288" t="e">
        <f t="shared" si="42"/>
        <v>#DIV/0!</v>
      </c>
      <c r="G318" s="438"/>
      <c r="I318" s="220">
        <v>1</v>
      </c>
      <c r="J318" s="220">
        <v>2</v>
      </c>
    </row>
    <row r="319" spans="2:10" outlineLevel="1">
      <c r="B319" s="19" t="e">
        <f>#REF!+1</f>
        <v>#REF!</v>
      </c>
      <c r="C319" s="215" t="s">
        <v>89</v>
      </c>
      <c r="D319" s="215"/>
      <c r="E319" s="288" t="e">
        <f t="shared" si="42"/>
        <v>#DIV/0!</v>
      </c>
      <c r="F319" s="288" t="e">
        <f t="shared" si="42"/>
        <v>#DIV/0!</v>
      </c>
      <c r="G319" s="438"/>
      <c r="I319" s="220">
        <v>4</v>
      </c>
      <c r="J319" s="220">
        <v>6</v>
      </c>
    </row>
    <row r="320" spans="2:10" ht="23" outlineLevel="1">
      <c r="B320" s="19" t="e">
        <f t="shared" ref="B320:B328" si="43">B319+1</f>
        <v>#REF!</v>
      </c>
      <c r="C320" s="229" t="s">
        <v>90</v>
      </c>
      <c r="D320" s="229"/>
      <c r="E320" s="288" t="e">
        <f t="shared" si="42"/>
        <v>#DIV/0!</v>
      </c>
      <c r="F320" s="288" t="e">
        <f t="shared" si="42"/>
        <v>#DIV/0!</v>
      </c>
      <c r="G320" s="438"/>
      <c r="I320" s="220">
        <v>4</v>
      </c>
      <c r="J320" s="220">
        <v>6</v>
      </c>
    </row>
    <row r="321" spans="2:10" outlineLevel="1">
      <c r="B321" s="19" t="e">
        <f t="shared" si="43"/>
        <v>#REF!</v>
      </c>
      <c r="C321" s="321" t="s">
        <v>69</v>
      </c>
      <c r="D321" s="321"/>
      <c r="E321" s="288" t="e">
        <f t="shared" si="42"/>
        <v>#DIV/0!</v>
      </c>
      <c r="F321" s="288" t="e">
        <f t="shared" si="42"/>
        <v>#DIV/0!</v>
      </c>
      <c r="G321" s="438"/>
      <c r="I321" s="220">
        <v>2</v>
      </c>
      <c r="J321" s="220">
        <v>4</v>
      </c>
    </row>
    <row r="322" spans="2:10" outlineLevel="1">
      <c r="B322" s="19" t="e">
        <f>B320+1</f>
        <v>#REF!</v>
      </c>
      <c r="C322" s="229" t="s">
        <v>91</v>
      </c>
      <c r="D322" s="229"/>
      <c r="E322" s="288" t="e">
        <f t="shared" si="42"/>
        <v>#DIV/0!</v>
      </c>
      <c r="F322" s="288" t="e">
        <f t="shared" si="42"/>
        <v>#DIV/0!</v>
      </c>
      <c r="G322" s="438"/>
      <c r="I322" s="220">
        <v>1</v>
      </c>
      <c r="J322" s="220">
        <v>2</v>
      </c>
    </row>
    <row r="323" spans="2:10" outlineLevel="1">
      <c r="B323" s="19" t="e">
        <f t="shared" si="43"/>
        <v>#REF!</v>
      </c>
      <c r="C323" s="287" t="s">
        <v>64</v>
      </c>
      <c r="D323" s="287"/>
      <c r="E323" s="288" t="e">
        <f t="shared" si="42"/>
        <v>#DIV/0!</v>
      </c>
      <c r="F323" s="288" t="e">
        <f t="shared" si="42"/>
        <v>#DIV/0!</v>
      </c>
      <c r="G323" s="438"/>
      <c r="I323" s="220">
        <v>6</v>
      </c>
      <c r="J323" s="220">
        <v>8</v>
      </c>
    </row>
    <row r="324" spans="2:10" outlineLevel="1">
      <c r="B324" s="19"/>
      <c r="C324" s="287" t="s">
        <v>70</v>
      </c>
      <c r="E324" s="288" t="e">
        <f t="shared" si="42"/>
        <v>#DIV/0!</v>
      </c>
      <c r="F324" s="288" t="e">
        <f t="shared" si="42"/>
        <v>#DIV/0!</v>
      </c>
      <c r="G324" s="438"/>
      <c r="I324" s="220">
        <v>4</v>
      </c>
      <c r="J324" s="220">
        <v>6</v>
      </c>
    </row>
    <row r="325" spans="2:10" outlineLevel="1">
      <c r="B325" s="19" t="e">
        <f>B323+1</f>
        <v>#REF!</v>
      </c>
      <c r="C325" s="287" t="s">
        <v>83</v>
      </c>
      <c r="D325" s="287"/>
      <c r="E325" s="288" t="e">
        <f t="shared" si="42"/>
        <v>#DIV/0!</v>
      </c>
      <c r="F325" s="288" t="e">
        <f t="shared" si="42"/>
        <v>#DIV/0!</v>
      </c>
      <c r="G325" s="438"/>
      <c r="I325" s="220">
        <v>1</v>
      </c>
      <c r="J325" s="220">
        <v>1</v>
      </c>
    </row>
    <row r="326" spans="2:10" outlineLevel="1">
      <c r="B326" s="19" t="e">
        <f t="shared" si="43"/>
        <v>#REF!</v>
      </c>
      <c r="C326" s="287" t="s">
        <v>84</v>
      </c>
      <c r="D326" s="287"/>
      <c r="E326" s="288" t="e">
        <f t="shared" si="42"/>
        <v>#DIV/0!</v>
      </c>
      <c r="F326" s="288" t="e">
        <f t="shared" si="42"/>
        <v>#DIV/0!</v>
      </c>
      <c r="G326" s="438"/>
      <c r="I326" s="220">
        <v>4</v>
      </c>
      <c r="J326" s="220">
        <v>6</v>
      </c>
    </row>
    <row r="327" spans="2:10" ht="23" outlineLevel="1">
      <c r="B327" s="19" t="e">
        <f t="shared" si="43"/>
        <v>#REF!</v>
      </c>
      <c r="C327" s="321" t="s">
        <v>85</v>
      </c>
      <c r="D327" s="321"/>
      <c r="E327" s="288" t="e">
        <f t="shared" si="42"/>
        <v>#DIV/0!</v>
      </c>
      <c r="F327" s="288" t="e">
        <f t="shared" si="42"/>
        <v>#DIV/0!</v>
      </c>
      <c r="G327" s="438"/>
      <c r="I327" s="220">
        <v>0</v>
      </c>
      <c r="J327" s="220">
        <v>0</v>
      </c>
    </row>
    <row r="328" spans="2:10" outlineLevel="1">
      <c r="B328" s="19" t="e">
        <f t="shared" si="43"/>
        <v>#REF!</v>
      </c>
      <c r="C328" s="229" t="s">
        <v>86</v>
      </c>
      <c r="D328" s="215"/>
      <c r="E328" s="288" t="e">
        <f t="shared" si="42"/>
        <v>#DIV/0!</v>
      </c>
      <c r="F328" s="288" t="e">
        <f t="shared" si="42"/>
        <v>#DIV/0!</v>
      </c>
      <c r="G328" s="438"/>
      <c r="I328" s="220">
        <v>1</v>
      </c>
      <c r="J328" s="220">
        <v>2</v>
      </c>
    </row>
    <row r="329" spans="2:10" outlineLevel="1">
      <c r="B329" s="19">
        <v>13</v>
      </c>
      <c r="C329" s="361"/>
      <c r="D329" s="362"/>
      <c r="E329" s="157"/>
      <c r="F329" s="157"/>
      <c r="G329" s="438"/>
    </row>
    <row r="330" spans="2:10" outlineLevel="1">
      <c r="B330" s="19">
        <v>14</v>
      </c>
      <c r="C330" s="361"/>
      <c r="D330" s="362"/>
      <c r="E330" s="157"/>
      <c r="F330" s="157"/>
      <c r="G330" s="438"/>
    </row>
    <row r="331" spans="2:10" outlineLevel="1">
      <c r="B331" s="18">
        <v>15</v>
      </c>
      <c r="C331" s="363"/>
      <c r="D331" s="364"/>
      <c r="E331" s="158"/>
      <c r="F331" s="158"/>
      <c r="G331" s="439"/>
    </row>
    <row r="333" spans="2:10">
      <c r="C333" s="356" t="s">
        <v>43</v>
      </c>
      <c r="D333" s="357"/>
      <c r="E333" s="15" t="s">
        <v>44</v>
      </c>
      <c r="F333" s="15" t="s">
        <v>45</v>
      </c>
      <c r="G333" s="16" t="s">
        <v>46</v>
      </c>
    </row>
    <row r="334" spans="2:10">
      <c r="B334" s="19" t="s">
        <v>49</v>
      </c>
      <c r="C334" s="228" t="s">
        <v>1748</v>
      </c>
      <c r="D334" s="228"/>
      <c r="E334" s="226" t="e">
        <f>SUM(E335:E348)</f>
        <v>#DIV/0!</v>
      </c>
      <c r="F334" s="227" t="e">
        <f>SUM(F335:F347)</f>
        <v>#DIV/0!</v>
      </c>
      <c r="G334" s="437" t="s">
        <v>1784</v>
      </c>
    </row>
    <row r="335" spans="2:10" outlineLevel="1">
      <c r="B335" s="19">
        <v>1</v>
      </c>
      <c r="C335" s="221" t="s">
        <v>78</v>
      </c>
      <c r="D335" s="221"/>
      <c r="E335" s="288" t="e">
        <f t="shared" ref="E335:F348" si="44">I335/$H$9</f>
        <v>#DIV/0!</v>
      </c>
      <c r="F335" s="288" t="e">
        <f t="shared" si="44"/>
        <v>#DIV/0!</v>
      </c>
      <c r="G335" s="438"/>
      <c r="I335" s="220">
        <v>6</v>
      </c>
      <c r="J335" s="220">
        <v>8</v>
      </c>
    </row>
    <row r="336" spans="2:10" outlineLevel="1">
      <c r="B336" s="19">
        <v>2</v>
      </c>
      <c r="C336" s="215" t="s">
        <v>79</v>
      </c>
      <c r="D336" s="215"/>
      <c r="E336" s="288" t="e">
        <f t="shared" si="44"/>
        <v>#DIV/0!</v>
      </c>
      <c r="F336" s="288" t="e">
        <f t="shared" si="44"/>
        <v>#DIV/0!</v>
      </c>
      <c r="G336" s="438"/>
      <c r="I336" s="220">
        <v>2</v>
      </c>
      <c r="J336" s="220">
        <v>3</v>
      </c>
    </row>
    <row r="337" spans="2:10" outlineLevel="1">
      <c r="B337" s="19">
        <f t="shared" ref="B337:B342" si="45">B336+1</f>
        <v>3</v>
      </c>
      <c r="C337" s="215"/>
      <c r="D337" s="215"/>
      <c r="E337" s="288"/>
      <c r="F337" s="288"/>
      <c r="G337" s="438"/>
      <c r="I337" s="220"/>
      <c r="J337" s="220"/>
    </row>
    <row r="338" spans="2:10" ht="23" outlineLevel="1">
      <c r="B338" s="19">
        <f t="shared" si="45"/>
        <v>4</v>
      </c>
      <c r="C338" s="215" t="s">
        <v>93</v>
      </c>
      <c r="D338" s="215"/>
      <c r="E338" s="288" t="e">
        <f t="shared" si="44"/>
        <v>#DIV/0!</v>
      </c>
      <c r="F338" s="288" t="e">
        <f t="shared" si="44"/>
        <v>#DIV/0!</v>
      </c>
      <c r="G338" s="438"/>
      <c r="I338" s="220">
        <v>8</v>
      </c>
      <c r="J338" s="220">
        <v>12</v>
      </c>
    </row>
    <row r="339" spans="2:10" ht="23" outlineLevel="1">
      <c r="B339" s="19">
        <f t="shared" si="45"/>
        <v>5</v>
      </c>
      <c r="C339" s="229" t="s">
        <v>94</v>
      </c>
      <c r="D339" s="229"/>
      <c r="E339" s="288" t="e">
        <f t="shared" si="44"/>
        <v>#DIV/0!</v>
      </c>
      <c r="F339" s="288" t="e">
        <f t="shared" si="44"/>
        <v>#DIV/0!</v>
      </c>
      <c r="G339" s="438"/>
      <c r="I339" s="220">
        <v>8</v>
      </c>
      <c r="J339" s="220">
        <v>12</v>
      </c>
    </row>
    <row r="340" spans="2:10" outlineLevel="1">
      <c r="B340" s="19">
        <f t="shared" si="45"/>
        <v>6</v>
      </c>
      <c r="C340" s="229" t="s">
        <v>95</v>
      </c>
      <c r="D340" s="229"/>
      <c r="E340" s="288" t="e">
        <f t="shared" si="44"/>
        <v>#DIV/0!</v>
      </c>
      <c r="F340" s="288" t="e">
        <f t="shared" si="44"/>
        <v>#DIV/0!</v>
      </c>
      <c r="G340" s="438"/>
      <c r="I340" s="220">
        <v>8</v>
      </c>
      <c r="J340" s="220">
        <v>12</v>
      </c>
    </row>
    <row r="341" spans="2:10" outlineLevel="1">
      <c r="B341" s="19">
        <f t="shared" si="45"/>
        <v>7</v>
      </c>
      <c r="C341" s="229" t="s">
        <v>91</v>
      </c>
      <c r="D341" s="229"/>
      <c r="E341" s="288" t="e">
        <f t="shared" si="44"/>
        <v>#DIV/0!</v>
      </c>
      <c r="F341" s="288" t="e">
        <f t="shared" si="44"/>
        <v>#DIV/0!</v>
      </c>
      <c r="G341" s="438"/>
      <c r="I341" s="220">
        <v>2</v>
      </c>
      <c r="J341" s="220">
        <v>2</v>
      </c>
    </row>
    <row r="342" spans="2:10" outlineLevel="1">
      <c r="B342" s="19">
        <f t="shared" si="45"/>
        <v>8</v>
      </c>
      <c r="C342" s="321" t="s">
        <v>69</v>
      </c>
      <c r="D342" s="321"/>
      <c r="E342" s="288" t="e">
        <f t="shared" si="44"/>
        <v>#DIV/0!</v>
      </c>
      <c r="F342" s="288" t="e">
        <f t="shared" si="44"/>
        <v>#DIV/0!</v>
      </c>
      <c r="G342" s="438"/>
      <c r="I342" s="220">
        <v>4</v>
      </c>
      <c r="J342" s="220">
        <v>6</v>
      </c>
    </row>
    <row r="343" spans="2:10" outlineLevel="1">
      <c r="B343" s="19"/>
      <c r="C343" s="287" t="s">
        <v>70</v>
      </c>
      <c r="E343" s="288" t="e">
        <f t="shared" si="44"/>
        <v>#DIV/0!</v>
      </c>
      <c r="F343" s="288" t="e">
        <f t="shared" si="44"/>
        <v>#DIV/0!</v>
      </c>
      <c r="G343" s="438"/>
      <c r="I343" s="220">
        <v>8</v>
      </c>
      <c r="J343" s="220">
        <v>12</v>
      </c>
    </row>
    <row r="344" spans="2:10" outlineLevel="1">
      <c r="B344" s="19">
        <f>B341+1</f>
        <v>8</v>
      </c>
      <c r="C344" s="287" t="s">
        <v>64</v>
      </c>
      <c r="D344" s="287"/>
      <c r="E344" s="288" t="e">
        <f t="shared" si="44"/>
        <v>#DIV/0!</v>
      </c>
      <c r="F344" s="288" t="e">
        <f t="shared" si="44"/>
        <v>#DIV/0!</v>
      </c>
      <c r="G344" s="438"/>
      <c r="I344" s="220">
        <v>2</v>
      </c>
      <c r="J344" s="220">
        <v>3</v>
      </c>
    </row>
    <row r="345" spans="2:10" outlineLevel="1">
      <c r="B345" s="19">
        <f>B344+1</f>
        <v>9</v>
      </c>
      <c r="C345" s="287" t="s">
        <v>83</v>
      </c>
      <c r="D345" s="287"/>
      <c r="E345" s="288" t="e">
        <f t="shared" si="44"/>
        <v>#DIV/0!</v>
      </c>
      <c r="F345" s="288" t="e">
        <f t="shared" si="44"/>
        <v>#DIV/0!</v>
      </c>
      <c r="G345" s="438"/>
      <c r="I345" s="220">
        <v>1</v>
      </c>
      <c r="J345" s="220">
        <v>2</v>
      </c>
    </row>
    <row r="346" spans="2:10" outlineLevel="1">
      <c r="B346" s="19">
        <v>12</v>
      </c>
      <c r="C346" s="287" t="s">
        <v>84</v>
      </c>
      <c r="D346" s="287"/>
      <c r="E346" s="288" t="e">
        <f t="shared" si="44"/>
        <v>#DIV/0!</v>
      </c>
      <c r="F346" s="288" t="e">
        <f t="shared" si="44"/>
        <v>#DIV/0!</v>
      </c>
      <c r="G346" s="438"/>
      <c r="I346" s="220">
        <v>1</v>
      </c>
      <c r="J346" s="220">
        <v>1</v>
      </c>
    </row>
    <row r="347" spans="2:10" ht="23" outlineLevel="1">
      <c r="B347" s="19">
        <f>B346+1</f>
        <v>13</v>
      </c>
      <c r="C347" s="321" t="s">
        <v>85</v>
      </c>
      <c r="D347" s="321"/>
      <c r="E347" s="288" t="e">
        <f t="shared" si="44"/>
        <v>#DIV/0!</v>
      </c>
      <c r="F347" s="288" t="e">
        <f t="shared" si="44"/>
        <v>#DIV/0!</v>
      </c>
      <c r="G347" s="438"/>
      <c r="I347" s="220">
        <v>0</v>
      </c>
      <c r="J347" s="220">
        <v>0</v>
      </c>
    </row>
    <row r="348" spans="2:10" outlineLevel="1">
      <c r="B348" s="19">
        <f>B347+1</f>
        <v>14</v>
      </c>
      <c r="C348" s="229" t="s">
        <v>86</v>
      </c>
      <c r="D348" s="229"/>
      <c r="E348" s="288" t="e">
        <f t="shared" si="44"/>
        <v>#DIV/0!</v>
      </c>
      <c r="F348" s="288" t="e">
        <f t="shared" si="44"/>
        <v>#DIV/0!</v>
      </c>
      <c r="G348" s="438"/>
      <c r="I348" s="220">
        <v>2</v>
      </c>
      <c r="J348" s="220">
        <v>3</v>
      </c>
    </row>
    <row r="349" spans="2:10" outlineLevel="1">
      <c r="B349" s="19">
        <v>13</v>
      </c>
      <c r="C349" s="361"/>
      <c r="D349" s="362"/>
      <c r="E349" s="157"/>
      <c r="F349" s="157"/>
      <c r="G349" s="438"/>
    </row>
    <row r="350" spans="2:10" outlineLevel="1">
      <c r="B350" s="19">
        <v>14</v>
      </c>
      <c r="C350" s="361"/>
      <c r="D350" s="362"/>
      <c r="E350" s="157"/>
      <c r="F350" s="157"/>
      <c r="G350" s="438"/>
    </row>
    <row r="351" spans="2:10" outlineLevel="1">
      <c r="B351" s="18">
        <v>15</v>
      </c>
      <c r="C351" s="363"/>
      <c r="D351" s="364"/>
      <c r="E351" s="158"/>
      <c r="F351" s="158"/>
      <c r="G351" s="439"/>
    </row>
    <row r="353" spans="2:10">
      <c r="C353" s="356" t="s">
        <v>43</v>
      </c>
      <c r="D353" s="357"/>
      <c r="E353" s="15" t="s">
        <v>44</v>
      </c>
      <c r="F353" s="15" t="s">
        <v>45</v>
      </c>
      <c r="G353" s="16" t="s">
        <v>46</v>
      </c>
    </row>
    <row r="354" spans="2:10" ht="23" customHeight="1">
      <c r="B354" s="19" t="s">
        <v>49</v>
      </c>
      <c r="C354" s="225" t="s">
        <v>1821</v>
      </c>
      <c r="D354" s="225"/>
      <c r="E354" s="226">
        <f>SUM(E355:E365)</f>
        <v>22</v>
      </c>
      <c r="F354" s="227" t="e">
        <f>SUM(F355:F365)</f>
        <v>#DIV/0!</v>
      </c>
      <c r="G354" s="454" t="s">
        <v>1822</v>
      </c>
    </row>
    <row r="355" spans="2:10" outlineLevel="1">
      <c r="B355" s="19">
        <v>1</v>
      </c>
      <c r="C355" s="215" t="s">
        <v>97</v>
      </c>
      <c r="D355" s="215"/>
      <c r="E355" s="288">
        <v>2</v>
      </c>
      <c r="F355" s="288" t="e">
        <f>J355/$H$9</f>
        <v>#DIV/0!</v>
      </c>
      <c r="G355" s="455"/>
      <c r="I355" s="220">
        <v>1</v>
      </c>
      <c r="J355" s="220">
        <v>2</v>
      </c>
    </row>
    <row r="356" spans="2:10" outlineLevel="1">
      <c r="B356" s="19">
        <f>B355+1</f>
        <v>2</v>
      </c>
      <c r="C356" s="221" t="s">
        <v>74</v>
      </c>
      <c r="D356" s="221"/>
      <c r="E356" s="288">
        <v>2</v>
      </c>
      <c r="F356" s="288" t="e">
        <f t="shared" ref="F356:F365" si="46">J356/$H$9</f>
        <v>#DIV/0!</v>
      </c>
      <c r="G356" s="455"/>
      <c r="I356" s="220">
        <v>1</v>
      </c>
      <c r="J356" s="220">
        <v>2</v>
      </c>
    </row>
    <row r="357" spans="2:10" ht="46" outlineLevel="1">
      <c r="B357" s="19">
        <f>B356+1</f>
        <v>3</v>
      </c>
      <c r="C357" s="221" t="s">
        <v>98</v>
      </c>
      <c r="D357" s="221"/>
      <c r="E357" s="288">
        <v>2</v>
      </c>
      <c r="F357" s="288" t="e">
        <f t="shared" si="46"/>
        <v>#DIV/0!</v>
      </c>
      <c r="G357" s="455"/>
      <c r="I357" s="220">
        <v>4</v>
      </c>
      <c r="J357" s="220">
        <v>6</v>
      </c>
    </row>
    <row r="358" spans="2:10" outlineLevel="1">
      <c r="B358" s="19">
        <f t="shared" ref="B358:B364" si="47">B357+1</f>
        <v>4</v>
      </c>
      <c r="C358" s="215" t="s">
        <v>99</v>
      </c>
      <c r="D358" s="215"/>
      <c r="E358" s="288">
        <v>2</v>
      </c>
      <c r="F358" s="288" t="e">
        <f t="shared" si="46"/>
        <v>#DIV/0!</v>
      </c>
      <c r="G358" s="455"/>
      <c r="I358" s="220">
        <v>2</v>
      </c>
      <c r="J358" s="220">
        <v>4</v>
      </c>
    </row>
    <row r="359" spans="2:10" outlineLevel="1">
      <c r="B359" s="19">
        <f t="shared" si="47"/>
        <v>5</v>
      </c>
      <c r="C359" s="215" t="s">
        <v>100</v>
      </c>
      <c r="D359" s="215"/>
      <c r="E359" s="288">
        <v>2</v>
      </c>
      <c r="F359" s="288" t="e">
        <f t="shared" si="46"/>
        <v>#DIV/0!</v>
      </c>
      <c r="G359" s="455"/>
      <c r="I359" s="220">
        <v>2</v>
      </c>
      <c r="J359" s="220">
        <v>4</v>
      </c>
    </row>
    <row r="360" spans="2:10" outlineLevel="1">
      <c r="B360" s="19">
        <f t="shared" si="47"/>
        <v>6</v>
      </c>
      <c r="C360" s="215" t="s">
        <v>101</v>
      </c>
      <c r="D360" s="215"/>
      <c r="E360" s="288">
        <v>2</v>
      </c>
      <c r="F360" s="288" t="e">
        <f t="shared" si="46"/>
        <v>#DIV/0!</v>
      </c>
      <c r="G360" s="455"/>
      <c r="I360" s="220">
        <v>4</v>
      </c>
      <c r="J360" s="220">
        <v>6</v>
      </c>
    </row>
    <row r="361" spans="2:10" outlineLevel="1">
      <c r="B361" s="19">
        <f t="shared" si="47"/>
        <v>7</v>
      </c>
      <c r="C361" s="287" t="s">
        <v>64</v>
      </c>
      <c r="D361" s="287"/>
      <c r="E361" s="288">
        <v>2</v>
      </c>
      <c r="F361" s="288" t="e">
        <f t="shared" si="46"/>
        <v>#DIV/0!</v>
      </c>
      <c r="G361" s="455"/>
      <c r="I361" s="220">
        <v>4</v>
      </c>
      <c r="J361" s="220">
        <v>6</v>
      </c>
    </row>
    <row r="362" spans="2:10" outlineLevel="1">
      <c r="B362" s="19">
        <f t="shared" si="47"/>
        <v>8</v>
      </c>
      <c r="C362" s="287" t="s">
        <v>83</v>
      </c>
      <c r="D362" s="287"/>
      <c r="E362" s="288">
        <v>2</v>
      </c>
      <c r="F362" s="288" t="e">
        <f t="shared" si="46"/>
        <v>#DIV/0!</v>
      </c>
      <c r="G362" s="455"/>
      <c r="I362" s="220">
        <v>1</v>
      </c>
      <c r="J362" s="220">
        <v>2</v>
      </c>
    </row>
    <row r="363" spans="2:10" outlineLevel="1">
      <c r="B363" s="19">
        <f t="shared" si="47"/>
        <v>9</v>
      </c>
      <c r="C363" s="287" t="s">
        <v>84</v>
      </c>
      <c r="D363" s="287"/>
      <c r="E363" s="288">
        <v>2</v>
      </c>
      <c r="F363" s="288" t="e">
        <f t="shared" si="46"/>
        <v>#DIV/0!</v>
      </c>
      <c r="G363" s="455"/>
      <c r="I363" s="220">
        <v>2</v>
      </c>
      <c r="J363" s="220">
        <v>3</v>
      </c>
    </row>
    <row r="364" spans="2:10" ht="23" outlineLevel="1">
      <c r="B364" s="19">
        <f t="shared" si="47"/>
        <v>10</v>
      </c>
      <c r="C364" s="321" t="s">
        <v>85</v>
      </c>
      <c r="D364" s="321"/>
      <c r="E364" s="288">
        <v>2</v>
      </c>
      <c r="F364" s="288" t="e">
        <f t="shared" si="46"/>
        <v>#DIV/0!</v>
      </c>
      <c r="G364" s="455"/>
      <c r="I364" s="220">
        <v>0</v>
      </c>
      <c r="J364" s="220">
        <v>0</v>
      </c>
    </row>
    <row r="365" spans="2:10" outlineLevel="1">
      <c r="B365" s="19">
        <v>11</v>
      </c>
      <c r="C365" s="361" t="s">
        <v>86</v>
      </c>
      <c r="D365" s="362"/>
      <c r="E365" s="157">
        <v>2</v>
      </c>
      <c r="F365" s="157" t="e">
        <f t="shared" si="46"/>
        <v>#DIV/0!</v>
      </c>
      <c r="G365" s="455"/>
      <c r="I365" s="220">
        <v>0.5</v>
      </c>
      <c r="J365" s="220">
        <v>1</v>
      </c>
    </row>
    <row r="366" spans="2:10" outlineLevel="1">
      <c r="B366" s="19">
        <v>12</v>
      </c>
      <c r="C366" s="361"/>
      <c r="D366" s="362"/>
      <c r="E366" s="157"/>
      <c r="F366" s="157"/>
      <c r="G366" s="455"/>
    </row>
    <row r="367" spans="2:10" outlineLevel="1">
      <c r="B367" s="19">
        <v>13</v>
      </c>
      <c r="C367" s="361"/>
      <c r="D367" s="362"/>
      <c r="E367" s="157"/>
      <c r="F367" s="157"/>
      <c r="G367" s="455"/>
    </row>
    <row r="368" spans="2:10" outlineLevel="1">
      <c r="B368" s="19">
        <v>14</v>
      </c>
      <c r="C368" s="361"/>
      <c r="D368" s="362"/>
      <c r="E368" s="157"/>
      <c r="F368" s="157"/>
      <c r="G368" s="455"/>
    </row>
    <row r="369" spans="2:10" outlineLevel="1">
      <c r="B369" s="18">
        <v>15</v>
      </c>
      <c r="C369" s="363"/>
      <c r="D369" s="364"/>
      <c r="E369" s="158"/>
      <c r="F369" s="158"/>
      <c r="G369" s="456"/>
    </row>
    <row r="371" spans="2:10">
      <c r="C371" s="356" t="s">
        <v>43</v>
      </c>
      <c r="D371" s="357"/>
      <c r="E371" s="15" t="s">
        <v>44</v>
      </c>
      <c r="F371" s="15" t="s">
        <v>45</v>
      </c>
      <c r="G371" s="16" t="s">
        <v>46</v>
      </c>
    </row>
    <row r="372" spans="2:10" ht="23">
      <c r="B372" s="19" t="s">
        <v>49</v>
      </c>
      <c r="C372" s="225" t="s">
        <v>1750</v>
      </c>
      <c r="D372" s="225"/>
      <c r="E372" s="226" t="e">
        <f>SUM(E373:E383)</f>
        <v>#DIV/0!</v>
      </c>
      <c r="F372" s="227" t="e">
        <f>SUM(F373:F383)</f>
        <v>#DIV/0!</v>
      </c>
      <c r="G372" s="358" t="s">
        <v>1786</v>
      </c>
    </row>
    <row r="373" spans="2:10" outlineLevel="1">
      <c r="B373" s="19">
        <v>1</v>
      </c>
      <c r="C373" s="215" t="s">
        <v>97</v>
      </c>
      <c r="D373" s="215"/>
      <c r="E373" s="288" t="e">
        <f>I373/$H$9</f>
        <v>#DIV/0!</v>
      </c>
      <c r="F373" s="288" t="e">
        <f>J373/$H$9</f>
        <v>#DIV/0!</v>
      </c>
      <c r="G373" s="359"/>
      <c r="I373" s="220">
        <v>1</v>
      </c>
      <c r="J373" s="220">
        <v>2</v>
      </c>
    </row>
    <row r="374" spans="2:10" outlineLevel="1">
      <c r="B374" s="19">
        <f>B373+1</f>
        <v>2</v>
      </c>
      <c r="C374" s="221" t="s">
        <v>74</v>
      </c>
      <c r="D374" s="221"/>
      <c r="E374" s="288" t="e">
        <f t="shared" ref="E374:F383" si="48">I374/$H$9</f>
        <v>#DIV/0!</v>
      </c>
      <c r="F374" s="288" t="e">
        <f t="shared" si="48"/>
        <v>#DIV/0!</v>
      </c>
      <c r="G374" s="359"/>
      <c r="I374" s="220">
        <v>2</v>
      </c>
      <c r="J374" s="220">
        <v>4</v>
      </c>
    </row>
    <row r="375" spans="2:10" ht="46" outlineLevel="1">
      <c r="B375" s="19">
        <f>B374+1</f>
        <v>3</v>
      </c>
      <c r="C375" s="221" t="s">
        <v>98</v>
      </c>
      <c r="D375" s="221"/>
      <c r="E375" s="288" t="e">
        <f t="shared" si="48"/>
        <v>#DIV/0!</v>
      </c>
      <c r="F375" s="288" t="e">
        <f t="shared" si="48"/>
        <v>#DIV/0!</v>
      </c>
      <c r="G375" s="359"/>
      <c r="I375" s="220">
        <v>8</v>
      </c>
      <c r="J375" s="220">
        <v>12</v>
      </c>
    </row>
    <row r="376" spans="2:10" outlineLevel="1">
      <c r="B376" s="19">
        <f t="shared" ref="B376:B382" si="49">B375+1</f>
        <v>4</v>
      </c>
      <c r="C376" s="215" t="s">
        <v>99</v>
      </c>
      <c r="D376" s="215"/>
      <c r="E376" s="288" t="e">
        <f t="shared" si="48"/>
        <v>#DIV/0!</v>
      </c>
      <c r="F376" s="288" t="e">
        <f t="shared" si="48"/>
        <v>#DIV/0!</v>
      </c>
      <c r="G376" s="359"/>
      <c r="I376" s="220">
        <v>2</v>
      </c>
      <c r="J376" s="220">
        <v>4</v>
      </c>
    </row>
    <row r="377" spans="2:10" outlineLevel="1">
      <c r="B377" s="19">
        <f t="shared" si="49"/>
        <v>5</v>
      </c>
      <c r="C377" s="215" t="s">
        <v>100</v>
      </c>
      <c r="D377" s="215"/>
      <c r="E377" s="288" t="e">
        <f t="shared" si="48"/>
        <v>#DIV/0!</v>
      </c>
      <c r="F377" s="288" t="e">
        <f t="shared" si="48"/>
        <v>#DIV/0!</v>
      </c>
      <c r="G377" s="359"/>
      <c r="I377" s="220">
        <v>4</v>
      </c>
      <c r="J377" s="220">
        <v>8</v>
      </c>
    </row>
    <row r="378" spans="2:10" outlineLevel="1">
      <c r="B378" s="19">
        <f t="shared" si="49"/>
        <v>6</v>
      </c>
      <c r="C378" s="215" t="s">
        <v>101</v>
      </c>
      <c r="D378" s="215"/>
      <c r="E378" s="288" t="e">
        <f t="shared" si="48"/>
        <v>#DIV/0!</v>
      </c>
      <c r="F378" s="288" t="e">
        <f t="shared" si="48"/>
        <v>#DIV/0!</v>
      </c>
      <c r="G378" s="359"/>
      <c r="I378" s="220">
        <v>8</v>
      </c>
      <c r="J378" s="220">
        <v>12</v>
      </c>
    </row>
    <row r="379" spans="2:10" outlineLevel="1">
      <c r="B379" s="19">
        <f t="shared" si="49"/>
        <v>7</v>
      </c>
      <c r="C379" s="287" t="s">
        <v>64</v>
      </c>
      <c r="D379" s="287"/>
      <c r="E379" s="288" t="e">
        <f t="shared" si="48"/>
        <v>#DIV/0!</v>
      </c>
      <c r="F379" s="288" t="e">
        <f t="shared" si="48"/>
        <v>#DIV/0!</v>
      </c>
      <c r="G379" s="359"/>
      <c r="I379" s="220">
        <v>4</v>
      </c>
      <c r="J379" s="220">
        <v>8</v>
      </c>
    </row>
    <row r="380" spans="2:10" outlineLevel="1">
      <c r="B380" s="19">
        <f t="shared" si="49"/>
        <v>8</v>
      </c>
      <c r="C380" s="287" t="s">
        <v>83</v>
      </c>
      <c r="D380" s="287"/>
      <c r="E380" s="288" t="e">
        <f t="shared" si="48"/>
        <v>#DIV/0!</v>
      </c>
      <c r="F380" s="288" t="e">
        <f t="shared" si="48"/>
        <v>#DIV/0!</v>
      </c>
      <c r="G380" s="359"/>
      <c r="I380" s="220">
        <v>2</v>
      </c>
      <c r="J380" s="220">
        <v>4</v>
      </c>
    </row>
    <row r="381" spans="2:10" outlineLevel="1">
      <c r="B381" s="19">
        <f t="shared" si="49"/>
        <v>9</v>
      </c>
      <c r="C381" s="287" t="s">
        <v>84</v>
      </c>
      <c r="D381" s="287"/>
      <c r="E381" s="288" t="e">
        <f t="shared" si="48"/>
        <v>#DIV/0!</v>
      </c>
      <c r="F381" s="288" t="e">
        <f t="shared" si="48"/>
        <v>#DIV/0!</v>
      </c>
      <c r="G381" s="359"/>
      <c r="I381" s="220">
        <v>3</v>
      </c>
      <c r="J381" s="220">
        <v>4</v>
      </c>
    </row>
    <row r="382" spans="2:10" ht="23" outlineLevel="1">
      <c r="B382" s="19">
        <f t="shared" si="49"/>
        <v>10</v>
      </c>
      <c r="C382" s="321" t="s">
        <v>85</v>
      </c>
      <c r="D382" s="321"/>
      <c r="E382" s="288" t="e">
        <f t="shared" si="48"/>
        <v>#DIV/0!</v>
      </c>
      <c r="F382" s="288" t="e">
        <f t="shared" si="48"/>
        <v>#DIV/0!</v>
      </c>
      <c r="G382" s="359"/>
      <c r="I382" s="220">
        <v>0</v>
      </c>
      <c r="J382" s="220">
        <v>0</v>
      </c>
    </row>
    <row r="383" spans="2:10" outlineLevel="1">
      <c r="B383" s="19">
        <v>11</v>
      </c>
      <c r="C383" s="361" t="s">
        <v>86</v>
      </c>
      <c r="D383" s="362"/>
      <c r="E383" s="157" t="e">
        <f t="shared" si="48"/>
        <v>#DIV/0!</v>
      </c>
      <c r="F383" s="157" t="e">
        <f t="shared" si="48"/>
        <v>#DIV/0!</v>
      </c>
      <c r="G383" s="359"/>
      <c r="I383" s="220">
        <v>1</v>
      </c>
      <c r="J383" s="220">
        <v>2</v>
      </c>
    </row>
    <row r="384" spans="2:10" outlineLevel="1">
      <c r="B384" s="19">
        <v>12</v>
      </c>
      <c r="C384" s="361"/>
      <c r="D384" s="362"/>
      <c r="E384" s="157"/>
      <c r="F384" s="157"/>
      <c r="G384" s="359"/>
    </row>
    <row r="385" spans="2:10" outlineLevel="1">
      <c r="B385" s="19">
        <v>13</v>
      </c>
      <c r="C385" s="361"/>
      <c r="D385" s="362"/>
      <c r="E385" s="157"/>
      <c r="F385" s="157"/>
      <c r="G385" s="359"/>
    </row>
    <row r="386" spans="2:10" outlineLevel="1">
      <c r="B386" s="19">
        <v>14</v>
      </c>
      <c r="C386" s="361"/>
      <c r="D386" s="362"/>
      <c r="E386" s="157"/>
      <c r="F386" s="157"/>
      <c r="G386" s="359"/>
    </row>
    <row r="387" spans="2:10" outlineLevel="1">
      <c r="B387" s="18">
        <v>15</v>
      </c>
      <c r="C387" s="363"/>
      <c r="D387" s="364"/>
      <c r="E387" s="158"/>
      <c r="F387" s="158"/>
      <c r="G387" s="360"/>
    </row>
    <row r="389" spans="2:10">
      <c r="C389" s="356" t="s">
        <v>43</v>
      </c>
      <c r="D389" s="357"/>
      <c r="E389" s="15" t="s">
        <v>44</v>
      </c>
      <c r="F389" s="15" t="s">
        <v>45</v>
      </c>
      <c r="G389" s="16" t="s">
        <v>46</v>
      </c>
    </row>
    <row r="390" spans="2:10">
      <c r="B390" s="19" t="s">
        <v>49</v>
      </c>
      <c r="C390" s="225" t="s">
        <v>1751</v>
      </c>
      <c r="D390" s="225"/>
      <c r="E390" s="226" t="e">
        <f>SUM(E391:E401)</f>
        <v>#DIV/0!</v>
      </c>
      <c r="F390" s="227" t="e">
        <f>SUM(F391:F401)</f>
        <v>#DIV/0!</v>
      </c>
      <c r="G390" s="437" t="s">
        <v>1784</v>
      </c>
    </row>
    <row r="391" spans="2:10" outlineLevel="1">
      <c r="B391" s="19">
        <v>1</v>
      </c>
      <c r="C391" s="215" t="s">
        <v>97</v>
      </c>
      <c r="D391" s="215"/>
      <c r="E391" s="288" t="e">
        <f>I391/$H$9</f>
        <v>#DIV/0!</v>
      </c>
      <c r="F391" s="288" t="e">
        <f>J391/$H$9</f>
        <v>#DIV/0!</v>
      </c>
      <c r="G391" s="438"/>
      <c r="I391" s="220">
        <v>2</v>
      </c>
      <c r="J391" s="220">
        <v>4</v>
      </c>
    </row>
    <row r="392" spans="2:10" outlineLevel="1">
      <c r="B392" s="19">
        <f>B391+1</f>
        <v>2</v>
      </c>
      <c r="C392" s="221" t="s">
        <v>74</v>
      </c>
      <c r="D392" s="221"/>
      <c r="E392" s="288" t="e">
        <f t="shared" ref="E392:F401" si="50">I392/$H$9</f>
        <v>#DIV/0!</v>
      </c>
      <c r="F392" s="288" t="e">
        <f t="shared" si="50"/>
        <v>#DIV/0!</v>
      </c>
      <c r="G392" s="438"/>
      <c r="I392" s="220">
        <v>4</v>
      </c>
      <c r="J392" s="220">
        <v>6</v>
      </c>
    </row>
    <row r="393" spans="2:10" ht="46" outlineLevel="1">
      <c r="B393" s="19">
        <f>B392+1</f>
        <v>3</v>
      </c>
      <c r="C393" s="221" t="s">
        <v>98</v>
      </c>
      <c r="D393" s="221"/>
      <c r="E393" s="288" t="e">
        <f t="shared" si="50"/>
        <v>#DIV/0!</v>
      </c>
      <c r="F393" s="288" t="e">
        <f t="shared" si="50"/>
        <v>#DIV/0!</v>
      </c>
      <c r="G393" s="438"/>
      <c r="I393" s="220">
        <v>12</v>
      </c>
      <c r="J393" s="220">
        <v>16</v>
      </c>
    </row>
    <row r="394" spans="2:10" outlineLevel="1">
      <c r="B394" s="19">
        <f t="shared" ref="B394:B400" si="51">B393+1</f>
        <v>4</v>
      </c>
      <c r="C394" s="215" t="s">
        <v>99</v>
      </c>
      <c r="D394" s="215"/>
      <c r="E394" s="288" t="e">
        <f t="shared" si="50"/>
        <v>#DIV/0!</v>
      </c>
      <c r="F394" s="288" t="e">
        <f t="shared" si="50"/>
        <v>#DIV/0!</v>
      </c>
      <c r="G394" s="438"/>
      <c r="I394" s="220">
        <v>2</v>
      </c>
      <c r="J394" s="220">
        <v>4</v>
      </c>
    </row>
    <row r="395" spans="2:10" outlineLevel="1">
      <c r="B395" s="19">
        <f t="shared" si="51"/>
        <v>5</v>
      </c>
      <c r="C395" s="215" t="s">
        <v>100</v>
      </c>
      <c r="D395" s="215"/>
      <c r="E395" s="288" t="e">
        <f t="shared" si="50"/>
        <v>#DIV/0!</v>
      </c>
      <c r="F395" s="288" t="e">
        <f t="shared" si="50"/>
        <v>#DIV/0!</v>
      </c>
      <c r="G395" s="438"/>
      <c r="I395" s="220">
        <v>6</v>
      </c>
      <c r="J395" s="220">
        <v>8</v>
      </c>
    </row>
    <row r="396" spans="2:10" outlineLevel="1">
      <c r="B396" s="19">
        <f t="shared" si="51"/>
        <v>6</v>
      </c>
      <c r="C396" s="215" t="s">
        <v>101</v>
      </c>
      <c r="D396" s="215"/>
      <c r="E396" s="288" t="e">
        <f t="shared" si="50"/>
        <v>#DIV/0!</v>
      </c>
      <c r="F396" s="288" t="e">
        <f t="shared" si="50"/>
        <v>#DIV/0!</v>
      </c>
      <c r="G396" s="438"/>
      <c r="I396" s="220">
        <v>12</v>
      </c>
      <c r="J396" s="220">
        <v>16</v>
      </c>
    </row>
    <row r="397" spans="2:10" outlineLevel="1">
      <c r="B397" s="19">
        <f t="shared" si="51"/>
        <v>7</v>
      </c>
      <c r="C397" s="287" t="s">
        <v>64</v>
      </c>
      <c r="D397" s="287"/>
      <c r="E397" s="288" t="e">
        <f t="shared" si="50"/>
        <v>#DIV/0!</v>
      </c>
      <c r="F397" s="288" t="e">
        <f t="shared" si="50"/>
        <v>#DIV/0!</v>
      </c>
      <c r="G397" s="438"/>
      <c r="I397" s="220">
        <v>8</v>
      </c>
      <c r="J397" s="220">
        <v>12</v>
      </c>
    </row>
    <row r="398" spans="2:10" outlineLevel="1">
      <c r="B398" s="19">
        <f t="shared" si="51"/>
        <v>8</v>
      </c>
      <c r="C398" s="287" t="s">
        <v>83</v>
      </c>
      <c r="D398" s="287"/>
      <c r="E398" s="288" t="e">
        <f t="shared" si="50"/>
        <v>#DIV/0!</v>
      </c>
      <c r="F398" s="288" t="e">
        <f t="shared" si="50"/>
        <v>#DIV/0!</v>
      </c>
      <c r="G398" s="438"/>
      <c r="I398" s="220">
        <v>2</v>
      </c>
      <c r="J398" s="220">
        <v>4</v>
      </c>
    </row>
    <row r="399" spans="2:10" outlineLevel="1">
      <c r="B399" s="19">
        <f t="shared" si="51"/>
        <v>9</v>
      </c>
      <c r="C399" s="287" t="s">
        <v>84</v>
      </c>
      <c r="D399" s="287"/>
      <c r="E399" s="288" t="e">
        <f t="shared" si="50"/>
        <v>#DIV/0!</v>
      </c>
      <c r="F399" s="288" t="e">
        <f t="shared" si="50"/>
        <v>#DIV/0!</v>
      </c>
      <c r="G399" s="438"/>
      <c r="I399" s="220">
        <v>4</v>
      </c>
      <c r="J399" s="220">
        <v>6</v>
      </c>
    </row>
    <row r="400" spans="2:10" ht="23" outlineLevel="1">
      <c r="B400" s="19">
        <f t="shared" si="51"/>
        <v>10</v>
      </c>
      <c r="C400" s="321" t="s">
        <v>85</v>
      </c>
      <c r="D400" s="321"/>
      <c r="E400" s="288" t="e">
        <f t="shared" si="50"/>
        <v>#DIV/0!</v>
      </c>
      <c r="F400" s="288" t="e">
        <f t="shared" si="50"/>
        <v>#DIV/0!</v>
      </c>
      <c r="G400" s="438"/>
      <c r="I400" s="220">
        <v>0</v>
      </c>
      <c r="J400" s="220">
        <v>0</v>
      </c>
    </row>
    <row r="401" spans="2:10" outlineLevel="1">
      <c r="B401" s="19">
        <v>11</v>
      </c>
      <c r="C401" s="361" t="s">
        <v>86</v>
      </c>
      <c r="D401" s="362"/>
      <c r="E401" s="157" t="e">
        <f t="shared" si="50"/>
        <v>#DIV/0!</v>
      </c>
      <c r="F401" s="157" t="e">
        <f t="shared" si="50"/>
        <v>#DIV/0!</v>
      </c>
      <c r="G401" s="438"/>
      <c r="I401" s="220">
        <v>2</v>
      </c>
      <c r="J401" s="220">
        <v>3</v>
      </c>
    </row>
    <row r="402" spans="2:10" outlineLevel="1">
      <c r="B402" s="19">
        <v>12</v>
      </c>
      <c r="C402" s="361"/>
      <c r="D402" s="362"/>
      <c r="E402" s="157"/>
      <c r="F402" s="157"/>
      <c r="G402" s="438"/>
    </row>
    <row r="403" spans="2:10" outlineLevel="1">
      <c r="B403" s="19">
        <v>13</v>
      </c>
      <c r="C403" s="361"/>
      <c r="D403" s="362"/>
      <c r="E403" s="157"/>
      <c r="F403" s="157"/>
      <c r="G403" s="438"/>
    </row>
    <row r="404" spans="2:10" outlineLevel="1">
      <c r="B404" s="19">
        <v>14</v>
      </c>
      <c r="C404" s="361"/>
      <c r="D404" s="362"/>
      <c r="E404" s="157"/>
      <c r="F404" s="157"/>
      <c r="G404" s="438"/>
    </row>
    <row r="405" spans="2:10" outlineLevel="1">
      <c r="B405" s="18">
        <v>15</v>
      </c>
      <c r="C405" s="363"/>
      <c r="D405" s="364"/>
      <c r="E405" s="158"/>
      <c r="F405" s="158"/>
      <c r="G405" s="439"/>
    </row>
    <row r="407" spans="2:10">
      <c r="C407" s="356" t="s">
        <v>43</v>
      </c>
      <c r="D407" s="357"/>
      <c r="E407" s="15" t="s">
        <v>44</v>
      </c>
      <c r="F407" s="15" t="s">
        <v>45</v>
      </c>
      <c r="G407" s="16" t="s">
        <v>46</v>
      </c>
    </row>
    <row r="408" spans="2:10" ht="24" customHeight="1">
      <c r="B408" s="19" t="s">
        <v>49</v>
      </c>
      <c r="C408" s="431" t="s">
        <v>1752</v>
      </c>
      <c r="D408" s="225"/>
      <c r="E408" s="226" t="e">
        <f>SUM(E409:E417)</f>
        <v>#DIV/0!</v>
      </c>
      <c r="F408" s="227" t="e">
        <f>SUM(F409:F417)</f>
        <v>#DIV/0!</v>
      </c>
      <c r="G408" s="437" t="s">
        <v>1784</v>
      </c>
    </row>
    <row r="409" spans="2:10" outlineLevel="1">
      <c r="B409" s="19">
        <v>1</v>
      </c>
      <c r="C409" s="215" t="s">
        <v>55</v>
      </c>
      <c r="D409" s="215"/>
      <c r="E409" s="288" t="e">
        <f t="shared" ref="E409:F416" si="52">I409/$H$9</f>
        <v>#DIV/0!</v>
      </c>
      <c r="F409" s="288" t="e">
        <f t="shared" si="52"/>
        <v>#DIV/0!</v>
      </c>
      <c r="G409" s="438"/>
      <c r="I409" s="220">
        <v>1</v>
      </c>
      <c r="J409" s="220">
        <v>1</v>
      </c>
    </row>
    <row r="410" spans="2:10" outlineLevel="1">
      <c r="B410" s="19">
        <f t="shared" ref="B410:B416" si="53">B409+1</f>
        <v>2</v>
      </c>
      <c r="C410" s="215" t="s">
        <v>1732</v>
      </c>
      <c r="D410" s="215"/>
      <c r="E410" s="288" t="e">
        <f t="shared" si="52"/>
        <v>#DIV/0!</v>
      </c>
      <c r="F410" s="288" t="e">
        <f t="shared" si="52"/>
        <v>#DIV/0!</v>
      </c>
      <c r="G410" s="438"/>
      <c r="I410" s="220">
        <v>1</v>
      </c>
      <c r="J410" s="220">
        <v>2</v>
      </c>
    </row>
    <row r="411" spans="2:10" outlineLevel="1">
      <c r="B411" s="19">
        <f t="shared" si="53"/>
        <v>3</v>
      </c>
      <c r="C411" s="220" t="s">
        <v>57</v>
      </c>
      <c r="D411" s="215"/>
      <c r="E411" s="288" t="e">
        <f t="shared" si="52"/>
        <v>#DIV/0!</v>
      </c>
      <c r="F411" s="288" t="e">
        <f t="shared" si="52"/>
        <v>#DIV/0!</v>
      </c>
      <c r="G411" s="438"/>
      <c r="I411" s="220">
        <v>1</v>
      </c>
      <c r="J411" s="220">
        <v>3</v>
      </c>
    </row>
    <row r="412" spans="2:10" outlineLevel="1">
      <c r="B412" s="19">
        <f t="shared" si="53"/>
        <v>4</v>
      </c>
      <c r="C412" s="221" t="s">
        <v>62</v>
      </c>
      <c r="D412" s="215"/>
      <c r="E412" s="288" t="e">
        <f t="shared" si="52"/>
        <v>#DIV/0!</v>
      </c>
      <c r="F412" s="288" t="e">
        <f t="shared" si="52"/>
        <v>#DIV/0!</v>
      </c>
      <c r="G412" s="438"/>
      <c r="I412" s="220">
        <v>1</v>
      </c>
      <c r="J412" s="220">
        <v>5</v>
      </c>
    </row>
    <row r="413" spans="2:10" outlineLevel="1">
      <c r="B413" s="19">
        <f t="shared" si="53"/>
        <v>5</v>
      </c>
      <c r="C413" s="215" t="s">
        <v>64</v>
      </c>
      <c r="D413" s="215"/>
      <c r="E413" s="288" t="e">
        <f t="shared" si="52"/>
        <v>#DIV/0!</v>
      </c>
      <c r="F413" s="288" t="e">
        <f t="shared" si="52"/>
        <v>#DIV/0!</v>
      </c>
      <c r="G413" s="438"/>
      <c r="I413" s="220">
        <v>2</v>
      </c>
      <c r="J413" s="220">
        <v>2</v>
      </c>
    </row>
    <row r="414" spans="2:10" ht="23" outlineLevel="1">
      <c r="B414" s="19">
        <f t="shared" si="53"/>
        <v>6</v>
      </c>
      <c r="C414" s="215" t="s">
        <v>51</v>
      </c>
      <c r="D414" s="222"/>
      <c r="E414" s="288" t="e">
        <f t="shared" si="52"/>
        <v>#DIV/0!</v>
      </c>
      <c r="F414" s="288" t="e">
        <f t="shared" si="52"/>
        <v>#DIV/0!</v>
      </c>
      <c r="G414" s="438"/>
      <c r="I414" s="220">
        <v>2</v>
      </c>
      <c r="J414" s="220">
        <v>3</v>
      </c>
    </row>
    <row r="415" spans="2:10" outlineLevel="1">
      <c r="B415" s="19">
        <f t="shared" si="53"/>
        <v>7</v>
      </c>
      <c r="C415" s="217" t="s">
        <v>65</v>
      </c>
      <c r="D415" s="222"/>
      <c r="E415" s="288" t="e">
        <f t="shared" si="52"/>
        <v>#DIV/0!</v>
      </c>
      <c r="F415" s="288" t="e">
        <f t="shared" si="52"/>
        <v>#DIV/0!</v>
      </c>
      <c r="G415" s="438"/>
      <c r="I415" s="220">
        <v>1</v>
      </c>
      <c r="J415" s="220">
        <v>1</v>
      </c>
    </row>
    <row r="416" spans="2:10" outlineLevel="1">
      <c r="B416" s="19">
        <f t="shared" si="53"/>
        <v>8</v>
      </c>
      <c r="C416" s="217" t="s">
        <v>60</v>
      </c>
      <c r="D416" s="222"/>
      <c r="E416" s="288" t="e">
        <f t="shared" si="52"/>
        <v>#DIV/0!</v>
      </c>
      <c r="F416" s="288" t="e">
        <f t="shared" si="52"/>
        <v>#DIV/0!</v>
      </c>
      <c r="G416" s="438"/>
      <c r="I416" s="220">
        <v>1</v>
      </c>
      <c r="J416" s="220">
        <v>1</v>
      </c>
    </row>
    <row r="417" spans="2:10" outlineLevel="1">
      <c r="B417" s="19">
        <v>9</v>
      </c>
      <c r="C417" s="361"/>
      <c r="D417" s="362"/>
      <c r="E417" s="157"/>
      <c r="F417" s="157"/>
      <c r="G417" s="438"/>
    </row>
    <row r="418" spans="2:10" outlineLevel="1">
      <c r="B418" s="19">
        <v>10</v>
      </c>
      <c r="C418" s="361"/>
      <c r="D418" s="362"/>
      <c r="E418" s="157"/>
      <c r="F418" s="157"/>
      <c r="G418" s="438"/>
    </row>
    <row r="419" spans="2:10" outlineLevel="1">
      <c r="B419" s="19">
        <v>11</v>
      </c>
      <c r="C419" s="361"/>
      <c r="D419" s="362"/>
      <c r="E419" s="157"/>
      <c r="F419" s="157"/>
      <c r="G419" s="438"/>
    </row>
    <row r="420" spans="2:10" outlineLevel="1">
      <c r="B420" s="19">
        <v>12</v>
      </c>
      <c r="C420" s="361"/>
      <c r="D420" s="362"/>
      <c r="E420" s="157"/>
      <c r="F420" s="157"/>
      <c r="G420" s="438"/>
    </row>
    <row r="421" spans="2:10" outlineLevel="1">
      <c r="B421" s="19">
        <v>13</v>
      </c>
      <c r="C421" s="361"/>
      <c r="D421" s="362"/>
      <c r="E421" s="157"/>
      <c r="F421" s="157"/>
      <c r="G421" s="438"/>
    </row>
    <row r="422" spans="2:10" outlineLevel="1">
      <c r="B422" s="19">
        <v>14</v>
      </c>
      <c r="C422" s="361"/>
      <c r="D422" s="362"/>
      <c r="E422" s="157"/>
      <c r="F422" s="157"/>
      <c r="G422" s="438"/>
    </row>
    <row r="423" spans="2:10" outlineLevel="1">
      <c r="B423" s="18">
        <v>15</v>
      </c>
      <c r="C423" s="363"/>
      <c r="D423" s="364"/>
      <c r="E423" s="158"/>
      <c r="F423" s="158"/>
      <c r="G423" s="439"/>
    </row>
    <row r="425" spans="2:10">
      <c r="C425" s="356" t="s">
        <v>43</v>
      </c>
      <c r="D425" s="357"/>
      <c r="E425" s="15" t="s">
        <v>44</v>
      </c>
      <c r="F425" s="15" t="s">
        <v>45</v>
      </c>
      <c r="G425" s="16" t="s">
        <v>46</v>
      </c>
    </row>
    <row r="426" spans="2:10" ht="15.5" customHeight="1">
      <c r="B426" s="19" t="s">
        <v>49</v>
      </c>
      <c r="C426" s="461" t="s">
        <v>1753</v>
      </c>
      <c r="D426" s="225"/>
      <c r="E426" s="226" t="e">
        <f>SUM(E427:E432)</f>
        <v>#DIV/0!</v>
      </c>
      <c r="F426" s="227" t="e">
        <f>SUM(F427:F432)</f>
        <v>#DIV/0!</v>
      </c>
      <c r="G426" s="437" t="s">
        <v>1784</v>
      </c>
    </row>
    <row r="427" spans="2:10" outlineLevel="1">
      <c r="B427" s="19">
        <v>1</v>
      </c>
      <c r="C427" s="215" t="s">
        <v>55</v>
      </c>
      <c r="D427" s="215"/>
      <c r="E427" s="288" t="e">
        <f>I427/$H$9</f>
        <v>#DIV/0!</v>
      </c>
      <c r="F427" s="288" t="e">
        <f>J427/$H$9</f>
        <v>#DIV/0!</v>
      </c>
      <c r="G427" s="438"/>
      <c r="I427" s="220">
        <v>0.75</v>
      </c>
      <c r="J427" s="220">
        <v>0.75</v>
      </c>
    </row>
    <row r="428" spans="2:10" outlineLevel="1">
      <c r="B428" s="19">
        <f>B427+1</f>
        <v>2</v>
      </c>
      <c r="C428" s="215" t="s">
        <v>1732</v>
      </c>
      <c r="D428" s="215"/>
      <c r="E428" s="288" t="e">
        <f>I428/$H$9</f>
        <v>#DIV/0!</v>
      </c>
      <c r="F428" s="288" t="e">
        <f>J428/$H$9</f>
        <v>#DIV/0!</v>
      </c>
      <c r="G428" s="438"/>
      <c r="I428" s="220">
        <v>0.75</v>
      </c>
      <c r="J428" s="220">
        <v>0.75</v>
      </c>
    </row>
    <row r="429" spans="2:10" outlineLevel="1">
      <c r="B429" s="19">
        <f>B428+1</f>
        <v>3</v>
      </c>
      <c r="C429" s="220" t="s">
        <v>57</v>
      </c>
      <c r="D429" s="220"/>
      <c r="E429" s="288" t="e">
        <f t="shared" ref="E429:F431" si="54">I429/$H$9</f>
        <v>#DIV/0!</v>
      </c>
      <c r="F429" s="288" t="e">
        <f t="shared" si="54"/>
        <v>#DIV/0!</v>
      </c>
      <c r="G429" s="438"/>
      <c r="I429" s="220">
        <v>0.5</v>
      </c>
      <c r="J429" s="220">
        <v>0.5</v>
      </c>
    </row>
    <row r="430" spans="2:10" outlineLevel="1">
      <c r="B430" s="19">
        <f>B429+1</f>
        <v>4</v>
      </c>
      <c r="C430" s="221" t="s">
        <v>62</v>
      </c>
      <c r="D430" s="221"/>
      <c r="E430" s="288" t="e">
        <f t="shared" si="54"/>
        <v>#DIV/0!</v>
      </c>
      <c r="F430" s="288" t="e">
        <f t="shared" si="54"/>
        <v>#DIV/0!</v>
      </c>
      <c r="G430" s="438"/>
      <c r="I430" s="220">
        <v>1</v>
      </c>
      <c r="J430" s="220">
        <v>1</v>
      </c>
    </row>
    <row r="431" spans="2:10" outlineLevel="1">
      <c r="B431" s="19">
        <f>B430+1</f>
        <v>5</v>
      </c>
      <c r="C431" s="215" t="s">
        <v>64</v>
      </c>
      <c r="D431" s="215"/>
      <c r="E431" s="288" t="e">
        <f t="shared" si="54"/>
        <v>#DIV/0!</v>
      </c>
      <c r="F431" s="288" t="e">
        <f t="shared" si="54"/>
        <v>#DIV/0!</v>
      </c>
      <c r="G431" s="438"/>
      <c r="I431" s="220">
        <v>1</v>
      </c>
      <c r="J431" s="220">
        <v>1</v>
      </c>
    </row>
    <row r="432" spans="2:10" ht="23" outlineLevel="1">
      <c r="B432" s="19">
        <v>6</v>
      </c>
      <c r="C432" s="215" t="s">
        <v>51</v>
      </c>
      <c r="D432" s="215"/>
      <c r="E432" s="318"/>
      <c r="F432" s="319"/>
      <c r="G432" s="438"/>
    </row>
    <row r="433" spans="2:7" outlineLevel="1">
      <c r="B433" s="19">
        <v>7</v>
      </c>
      <c r="C433" s="217" t="s">
        <v>65</v>
      </c>
      <c r="D433" s="217"/>
      <c r="E433" s="318"/>
      <c r="F433" s="319"/>
      <c r="G433" s="438"/>
    </row>
    <row r="434" spans="2:7" outlineLevel="1">
      <c r="B434" s="19">
        <v>8</v>
      </c>
      <c r="C434" s="217" t="s">
        <v>60</v>
      </c>
      <c r="D434" s="217"/>
      <c r="E434" s="157"/>
      <c r="F434" s="157"/>
      <c r="G434" s="438"/>
    </row>
    <row r="435" spans="2:7" outlineLevel="1">
      <c r="B435" s="19">
        <v>9</v>
      </c>
      <c r="C435" s="361"/>
      <c r="D435" s="362"/>
      <c r="E435" s="157"/>
      <c r="F435" s="157"/>
      <c r="G435" s="438"/>
    </row>
    <row r="436" spans="2:7" outlineLevel="1">
      <c r="B436" s="19">
        <v>10</v>
      </c>
      <c r="C436" s="361"/>
      <c r="D436" s="362"/>
      <c r="E436" s="157"/>
      <c r="F436" s="157"/>
      <c r="G436" s="438"/>
    </row>
    <row r="437" spans="2:7" outlineLevel="1">
      <c r="B437" s="19">
        <v>11</v>
      </c>
      <c r="C437" s="361"/>
      <c r="D437" s="362"/>
      <c r="E437" s="157"/>
      <c r="F437" s="157"/>
      <c r="G437" s="438"/>
    </row>
    <row r="438" spans="2:7" outlineLevel="1">
      <c r="B438" s="19">
        <v>12</v>
      </c>
      <c r="C438" s="361"/>
      <c r="D438" s="362"/>
      <c r="E438" s="157"/>
      <c r="F438" s="157"/>
      <c r="G438" s="438"/>
    </row>
    <row r="439" spans="2:7" outlineLevel="1">
      <c r="B439" s="19">
        <v>13</v>
      </c>
      <c r="C439" s="361"/>
      <c r="D439" s="362"/>
      <c r="E439" s="157"/>
      <c r="F439" s="157"/>
      <c r="G439" s="438"/>
    </row>
    <row r="440" spans="2:7" outlineLevel="1">
      <c r="B440" s="19">
        <v>14</v>
      </c>
      <c r="C440" s="361"/>
      <c r="D440" s="362"/>
      <c r="E440" s="157"/>
      <c r="F440" s="157"/>
      <c r="G440" s="438"/>
    </row>
    <row r="441" spans="2:7" outlineLevel="1">
      <c r="B441" s="18">
        <v>15</v>
      </c>
      <c r="C441" s="363"/>
      <c r="D441" s="364"/>
      <c r="E441" s="158"/>
      <c r="F441" s="158"/>
      <c r="G441" s="439"/>
    </row>
    <row r="443" spans="2:7">
      <c r="C443" s="356" t="s">
        <v>43</v>
      </c>
      <c r="D443" s="357"/>
      <c r="E443" s="15" t="s">
        <v>44</v>
      </c>
      <c r="F443" s="15" t="s">
        <v>45</v>
      </c>
      <c r="G443" s="16" t="s">
        <v>46</v>
      </c>
    </row>
    <row r="444" spans="2:7">
      <c r="B444" s="19" t="s">
        <v>49</v>
      </c>
      <c r="C444" s="461" t="s">
        <v>1754</v>
      </c>
      <c r="D444" s="225"/>
      <c r="E444" s="226" t="e">
        <f>SUM(E445:E450)</f>
        <v>#DIV/0!</v>
      </c>
      <c r="F444" s="227" t="e">
        <f>SUM(F445:F450)</f>
        <v>#DIV/0!</v>
      </c>
      <c r="G444" s="437" t="s">
        <v>1784</v>
      </c>
    </row>
    <row r="445" spans="2:7">
      <c r="B445" s="19">
        <v>1</v>
      </c>
      <c r="C445" s="215" t="s">
        <v>55</v>
      </c>
      <c r="D445" s="215"/>
      <c r="E445" s="288" t="e">
        <f>I445/$H$9</f>
        <v>#DIV/0!</v>
      </c>
      <c r="F445" s="288" t="e">
        <f>J445/$H$9</f>
        <v>#DIV/0!</v>
      </c>
      <c r="G445" s="438"/>
    </row>
    <row r="446" spans="2:7">
      <c r="B446" s="19">
        <f>B445+1</f>
        <v>2</v>
      </c>
      <c r="C446" s="215" t="s">
        <v>1732</v>
      </c>
      <c r="D446" s="215"/>
      <c r="E446" s="288" t="e">
        <f>I446/$H$9</f>
        <v>#DIV/0!</v>
      </c>
      <c r="F446" s="288" t="e">
        <f>J446/$H$9</f>
        <v>#DIV/0!</v>
      </c>
      <c r="G446" s="438"/>
    </row>
    <row r="447" spans="2:7">
      <c r="B447" s="19">
        <f>B446+1</f>
        <v>3</v>
      </c>
      <c r="C447" s="220" t="s">
        <v>57</v>
      </c>
      <c r="D447" s="220"/>
      <c r="E447" s="288" t="e">
        <f t="shared" ref="E447:E449" si="55">I447/$H$9</f>
        <v>#DIV/0!</v>
      </c>
      <c r="F447" s="288" t="e">
        <f t="shared" ref="F447:F449" si="56">J447/$H$9</f>
        <v>#DIV/0!</v>
      </c>
      <c r="G447" s="438"/>
    </row>
    <row r="448" spans="2:7">
      <c r="B448" s="19">
        <f>B447+1</f>
        <v>4</v>
      </c>
      <c r="C448" s="221" t="s">
        <v>62</v>
      </c>
      <c r="D448" s="221"/>
      <c r="E448" s="288" t="e">
        <f t="shared" si="55"/>
        <v>#DIV/0!</v>
      </c>
      <c r="F448" s="288" t="e">
        <f t="shared" si="56"/>
        <v>#DIV/0!</v>
      </c>
      <c r="G448" s="438"/>
    </row>
    <row r="449" spans="2:7">
      <c r="B449" s="19">
        <f>B448+1</f>
        <v>5</v>
      </c>
      <c r="C449" s="215" t="s">
        <v>64</v>
      </c>
      <c r="D449" s="215"/>
      <c r="E449" s="288" t="e">
        <f t="shared" si="55"/>
        <v>#DIV/0!</v>
      </c>
      <c r="F449" s="288" t="e">
        <f t="shared" si="56"/>
        <v>#DIV/0!</v>
      </c>
      <c r="G449" s="438"/>
    </row>
    <row r="450" spans="2:7" ht="23">
      <c r="B450" s="19">
        <v>6</v>
      </c>
      <c r="C450" s="215" t="s">
        <v>51</v>
      </c>
      <c r="D450" s="215"/>
      <c r="E450" s="318"/>
      <c r="F450" s="319"/>
      <c r="G450" s="438"/>
    </row>
    <row r="451" spans="2:7">
      <c r="B451" s="19">
        <v>7</v>
      </c>
      <c r="C451" s="217" t="s">
        <v>65</v>
      </c>
      <c r="D451" s="217"/>
      <c r="E451" s="318"/>
      <c r="F451" s="319"/>
      <c r="G451" s="438"/>
    </row>
    <row r="452" spans="2:7">
      <c r="B452" s="19">
        <v>8</v>
      </c>
      <c r="C452" s="217" t="s">
        <v>60</v>
      </c>
      <c r="D452" s="217"/>
      <c r="E452" s="157"/>
      <c r="F452" s="157"/>
      <c r="G452" s="438"/>
    </row>
    <row r="453" spans="2:7">
      <c r="B453" s="19">
        <v>9</v>
      </c>
      <c r="C453" s="361"/>
      <c r="D453" s="362"/>
      <c r="E453" s="157"/>
      <c r="F453" s="157"/>
      <c r="G453" s="438"/>
    </row>
    <row r="454" spans="2:7">
      <c r="B454" s="19">
        <v>10</v>
      </c>
      <c r="C454" s="361"/>
      <c r="D454" s="362"/>
      <c r="E454" s="157"/>
      <c r="F454" s="157"/>
      <c r="G454" s="438"/>
    </row>
    <row r="455" spans="2:7">
      <c r="B455" s="19">
        <v>11</v>
      </c>
      <c r="C455" s="361"/>
      <c r="D455" s="362"/>
      <c r="E455" s="157"/>
      <c r="F455" s="157"/>
      <c r="G455" s="438"/>
    </row>
    <row r="456" spans="2:7">
      <c r="B456" s="19">
        <v>12</v>
      </c>
      <c r="C456" s="361"/>
      <c r="D456" s="362"/>
      <c r="E456" s="157"/>
      <c r="F456" s="157"/>
      <c r="G456" s="438"/>
    </row>
    <row r="457" spans="2:7">
      <c r="B457" s="19">
        <v>13</v>
      </c>
      <c r="C457" s="361"/>
      <c r="D457" s="362"/>
      <c r="E457" s="157"/>
      <c r="F457" s="157"/>
      <c r="G457" s="438"/>
    </row>
    <row r="458" spans="2:7">
      <c r="B458" s="19">
        <v>14</v>
      </c>
      <c r="C458" s="361"/>
      <c r="D458" s="362"/>
      <c r="E458" s="157"/>
      <c r="F458" s="157"/>
      <c r="G458" s="438"/>
    </row>
    <row r="459" spans="2:7">
      <c r="B459" s="18">
        <v>15</v>
      </c>
      <c r="C459" s="363"/>
      <c r="D459" s="364"/>
      <c r="E459" s="158"/>
      <c r="F459" s="158"/>
      <c r="G459" s="439"/>
    </row>
    <row r="461" spans="2:7">
      <c r="C461" s="356" t="s">
        <v>43</v>
      </c>
      <c r="D461" s="357"/>
      <c r="E461" s="15" t="s">
        <v>44</v>
      </c>
      <c r="F461" s="15" t="s">
        <v>45</v>
      </c>
      <c r="G461" s="16" t="s">
        <v>46</v>
      </c>
    </row>
    <row r="462" spans="2:7">
      <c r="B462" s="19" t="s">
        <v>49</v>
      </c>
      <c r="C462" s="5" t="s">
        <v>1824</v>
      </c>
      <c r="D462" s="225"/>
      <c r="E462" s="226" t="e">
        <f>SUM(E464:E469)</f>
        <v>#DIV/0!</v>
      </c>
      <c r="F462" s="227" t="e">
        <f>SUM(F464:F469)</f>
        <v>#DIV/0!</v>
      </c>
      <c r="G462" s="437" t="s">
        <v>1784</v>
      </c>
    </row>
    <row r="463" spans="2:7">
      <c r="B463" s="19">
        <v>1</v>
      </c>
      <c r="C463" s="215" t="s">
        <v>55</v>
      </c>
      <c r="D463" s="462"/>
      <c r="E463" s="463"/>
      <c r="F463" s="464"/>
      <c r="G463" s="438"/>
    </row>
    <row r="464" spans="2:7">
      <c r="B464" s="19">
        <v>2</v>
      </c>
      <c r="C464" s="215" t="s">
        <v>1732</v>
      </c>
      <c r="D464" s="215"/>
      <c r="E464" s="288" t="e">
        <f>I464/$H$9</f>
        <v>#DIV/0!</v>
      </c>
      <c r="F464" s="288" t="e">
        <f>J464/$H$9</f>
        <v>#DIV/0!</v>
      </c>
      <c r="G464" s="438"/>
    </row>
    <row r="465" spans="2:7">
      <c r="B465" s="19">
        <f>B464+1</f>
        <v>3</v>
      </c>
      <c r="C465" s="220" t="s">
        <v>57</v>
      </c>
      <c r="D465" s="215"/>
      <c r="E465" s="288" t="e">
        <f>I465/$H$9</f>
        <v>#DIV/0!</v>
      </c>
      <c r="F465" s="288" t="e">
        <f>J465/$H$9</f>
        <v>#DIV/0!</v>
      </c>
      <c r="G465" s="438"/>
    </row>
    <row r="466" spans="2:7">
      <c r="B466" s="19">
        <f>B465+1</f>
        <v>4</v>
      </c>
      <c r="C466" s="221" t="s">
        <v>62</v>
      </c>
      <c r="D466" s="215"/>
      <c r="E466" s="288" t="e">
        <f t="shared" ref="E466:E468" si="57">I466/$H$9</f>
        <v>#DIV/0!</v>
      </c>
      <c r="F466" s="288" t="e">
        <f t="shared" ref="F466:F468" si="58">J466/$H$9</f>
        <v>#DIV/0!</v>
      </c>
      <c r="G466" s="438"/>
    </row>
    <row r="467" spans="2:7">
      <c r="B467" s="19">
        <f>B466+1</f>
        <v>5</v>
      </c>
      <c r="C467" s="215" t="s">
        <v>64</v>
      </c>
      <c r="D467" s="215"/>
      <c r="E467" s="288" t="e">
        <f t="shared" si="57"/>
        <v>#DIV/0!</v>
      </c>
      <c r="F467" s="288" t="e">
        <f t="shared" si="58"/>
        <v>#DIV/0!</v>
      </c>
      <c r="G467" s="438"/>
    </row>
    <row r="468" spans="2:7" ht="23">
      <c r="B468" s="19">
        <f>B467+1</f>
        <v>6</v>
      </c>
      <c r="C468" s="215" t="s">
        <v>51</v>
      </c>
      <c r="D468" s="215"/>
      <c r="E468" s="288" t="e">
        <f t="shared" si="57"/>
        <v>#DIV/0!</v>
      </c>
      <c r="F468" s="288" t="e">
        <f t="shared" si="58"/>
        <v>#DIV/0!</v>
      </c>
      <c r="G468" s="438"/>
    </row>
    <row r="469" spans="2:7">
      <c r="B469" s="19">
        <v>6</v>
      </c>
      <c r="C469" s="217" t="s">
        <v>65</v>
      </c>
      <c r="D469" s="317"/>
      <c r="E469" s="318"/>
      <c r="F469" s="319"/>
      <c r="G469" s="438"/>
    </row>
    <row r="470" spans="2:7">
      <c r="B470" s="19">
        <v>7</v>
      </c>
      <c r="C470" s="217" t="s">
        <v>60</v>
      </c>
      <c r="D470" s="317"/>
      <c r="E470" s="318"/>
      <c r="F470" s="319"/>
      <c r="G470" s="438"/>
    </row>
    <row r="471" spans="2:7">
      <c r="B471" s="19">
        <v>8</v>
      </c>
      <c r="C471" s="361"/>
      <c r="D471" s="362"/>
      <c r="E471" s="157"/>
      <c r="F471" s="157"/>
      <c r="G471" s="438"/>
    </row>
    <row r="472" spans="2:7">
      <c r="B472" s="19">
        <v>9</v>
      </c>
      <c r="C472" s="361"/>
      <c r="D472" s="362"/>
      <c r="E472" s="157"/>
      <c r="F472" s="157"/>
      <c r="G472" s="438"/>
    </row>
    <row r="473" spans="2:7">
      <c r="B473" s="19">
        <v>10</v>
      </c>
      <c r="C473" s="361"/>
      <c r="D473" s="362"/>
      <c r="E473" s="157"/>
      <c r="F473" s="157"/>
      <c r="G473" s="438"/>
    </row>
    <row r="474" spans="2:7">
      <c r="B474" s="19">
        <v>11</v>
      </c>
      <c r="C474" s="361"/>
      <c r="D474" s="362"/>
      <c r="E474" s="157"/>
      <c r="F474" s="157"/>
      <c r="G474" s="438"/>
    </row>
    <row r="475" spans="2:7">
      <c r="B475" s="19">
        <v>12</v>
      </c>
      <c r="C475" s="361"/>
      <c r="D475" s="362"/>
      <c r="E475" s="157"/>
      <c r="F475" s="157"/>
      <c r="G475" s="438"/>
    </row>
    <row r="476" spans="2:7">
      <c r="B476" s="19">
        <v>13</v>
      </c>
      <c r="C476" s="361"/>
      <c r="D476" s="362"/>
      <c r="E476" s="157"/>
      <c r="F476" s="157"/>
      <c r="G476" s="438"/>
    </row>
    <row r="477" spans="2:7">
      <c r="B477" s="19">
        <v>14</v>
      </c>
      <c r="C477" s="361"/>
      <c r="D477" s="362"/>
      <c r="E477" s="157"/>
      <c r="F477" s="157"/>
      <c r="G477" s="438"/>
    </row>
    <row r="478" spans="2:7">
      <c r="B478" s="18">
        <v>15</v>
      </c>
      <c r="C478" s="363"/>
      <c r="D478" s="364"/>
      <c r="E478" s="158"/>
      <c r="F478" s="158"/>
      <c r="G478" s="439"/>
    </row>
    <row r="480" spans="2:7">
      <c r="C480" s="356" t="s">
        <v>43</v>
      </c>
      <c r="D480" s="357"/>
      <c r="E480" s="15" t="s">
        <v>44</v>
      </c>
      <c r="F480" s="15" t="s">
        <v>45</v>
      </c>
      <c r="G480" s="16" t="s">
        <v>46</v>
      </c>
    </row>
    <row r="481" spans="2:7">
      <c r="B481" s="19" t="s">
        <v>49</v>
      </c>
      <c r="C481" s="461" t="s">
        <v>1823</v>
      </c>
      <c r="D481" s="225"/>
      <c r="E481" s="226" t="e">
        <f>SUM(E482:E487)</f>
        <v>#DIV/0!</v>
      </c>
      <c r="F481" s="227" t="e">
        <f>SUM(F482:F487)</f>
        <v>#DIV/0!</v>
      </c>
      <c r="G481" s="437" t="s">
        <v>1784</v>
      </c>
    </row>
    <row r="482" spans="2:7" ht="34.5">
      <c r="B482" s="19">
        <v>1</v>
      </c>
      <c r="C482" s="215" t="s">
        <v>55</v>
      </c>
      <c r="D482" s="215" t="s">
        <v>55</v>
      </c>
      <c r="E482" s="288" t="e">
        <f>I482/$H$9</f>
        <v>#DIV/0!</v>
      </c>
      <c r="F482" s="288" t="e">
        <f>J482/$H$9</f>
        <v>#DIV/0!</v>
      </c>
      <c r="G482" s="438"/>
    </row>
    <row r="483" spans="2:7" ht="23">
      <c r="B483" s="19">
        <f>B482+1</f>
        <v>2</v>
      </c>
      <c r="C483" s="215" t="s">
        <v>1732</v>
      </c>
      <c r="D483" s="215" t="s">
        <v>1732</v>
      </c>
      <c r="E483" s="288" t="e">
        <f>I483/$H$9</f>
        <v>#DIV/0!</v>
      </c>
      <c r="F483" s="288" t="e">
        <f>J483/$H$9</f>
        <v>#DIV/0!</v>
      </c>
      <c r="G483" s="438"/>
    </row>
    <row r="484" spans="2:7" ht="23">
      <c r="B484" s="19">
        <f>B483+1</f>
        <v>3</v>
      </c>
      <c r="C484" s="220" t="s">
        <v>57</v>
      </c>
      <c r="D484" s="220" t="s">
        <v>57</v>
      </c>
      <c r="E484" s="288" t="e">
        <f t="shared" ref="E484:E486" si="59">I484/$H$9</f>
        <v>#DIV/0!</v>
      </c>
      <c r="F484" s="288" t="e">
        <f t="shared" ref="F484:F486" si="60">J484/$H$9</f>
        <v>#DIV/0!</v>
      </c>
      <c r="G484" s="438"/>
    </row>
    <row r="485" spans="2:7" ht="34.5">
      <c r="B485" s="19">
        <f>B484+1</f>
        <v>4</v>
      </c>
      <c r="C485" s="221" t="s">
        <v>62</v>
      </c>
      <c r="D485" s="221" t="s">
        <v>62</v>
      </c>
      <c r="E485" s="288" t="e">
        <f t="shared" si="59"/>
        <v>#DIV/0!</v>
      </c>
      <c r="F485" s="288" t="e">
        <f t="shared" si="60"/>
        <v>#DIV/0!</v>
      </c>
      <c r="G485" s="438"/>
    </row>
    <row r="486" spans="2:7">
      <c r="B486" s="19">
        <f>B485+1</f>
        <v>5</v>
      </c>
      <c r="C486" s="215" t="s">
        <v>64</v>
      </c>
      <c r="D486" s="215" t="s">
        <v>64</v>
      </c>
      <c r="E486" s="288" t="e">
        <f t="shared" si="59"/>
        <v>#DIV/0!</v>
      </c>
      <c r="F486" s="288" t="e">
        <f t="shared" si="60"/>
        <v>#DIV/0!</v>
      </c>
      <c r="G486" s="438"/>
    </row>
    <row r="487" spans="2:7" ht="34.5">
      <c r="B487" s="19">
        <v>6</v>
      </c>
      <c r="C487" s="215" t="s">
        <v>51</v>
      </c>
      <c r="D487" s="215" t="s">
        <v>51</v>
      </c>
      <c r="E487" s="318"/>
      <c r="F487" s="319"/>
      <c r="G487" s="438"/>
    </row>
    <row r="488" spans="2:7" ht="23">
      <c r="B488" s="19">
        <v>7</v>
      </c>
      <c r="C488" s="217" t="s">
        <v>65</v>
      </c>
      <c r="D488" s="217" t="s">
        <v>65</v>
      </c>
      <c r="E488" s="318"/>
      <c r="F488" s="319"/>
      <c r="G488" s="438"/>
    </row>
    <row r="489" spans="2:7" ht="34.5">
      <c r="B489" s="19">
        <v>8</v>
      </c>
      <c r="C489" s="217" t="s">
        <v>60</v>
      </c>
      <c r="D489" s="217" t="s">
        <v>60</v>
      </c>
      <c r="E489" s="157"/>
      <c r="F489" s="157"/>
      <c r="G489" s="438"/>
    </row>
    <row r="490" spans="2:7">
      <c r="B490" s="19">
        <v>9</v>
      </c>
      <c r="C490" s="361"/>
      <c r="D490" s="362"/>
      <c r="E490" s="157"/>
      <c r="F490" s="157"/>
      <c r="G490" s="438"/>
    </row>
    <row r="491" spans="2:7">
      <c r="B491" s="19">
        <v>10</v>
      </c>
      <c r="C491" s="361"/>
      <c r="D491" s="362"/>
      <c r="E491" s="157"/>
      <c r="F491" s="157"/>
      <c r="G491" s="438"/>
    </row>
    <row r="492" spans="2:7">
      <c r="B492" s="19">
        <v>11</v>
      </c>
      <c r="C492" s="361"/>
      <c r="D492" s="362"/>
      <c r="E492" s="157"/>
      <c r="F492" s="157"/>
      <c r="G492" s="438"/>
    </row>
    <row r="493" spans="2:7">
      <c r="B493" s="19">
        <v>12</v>
      </c>
      <c r="C493" s="361"/>
      <c r="D493" s="362"/>
      <c r="E493" s="157"/>
      <c r="F493" s="157"/>
      <c r="G493" s="438"/>
    </row>
    <row r="494" spans="2:7">
      <c r="B494" s="19">
        <v>13</v>
      </c>
      <c r="C494" s="361"/>
      <c r="D494" s="362"/>
      <c r="E494" s="157"/>
      <c r="F494" s="157"/>
      <c r="G494" s="438"/>
    </row>
    <row r="495" spans="2:7">
      <c r="B495" s="19">
        <v>14</v>
      </c>
      <c r="C495" s="361"/>
      <c r="D495" s="362"/>
      <c r="E495" s="157"/>
      <c r="F495" s="157"/>
      <c r="G495" s="438"/>
    </row>
    <row r="496" spans="2:7">
      <c r="B496" s="18">
        <v>15</v>
      </c>
      <c r="C496" s="363"/>
      <c r="D496" s="364"/>
      <c r="E496" s="158"/>
      <c r="F496" s="158"/>
      <c r="G496" s="439"/>
    </row>
    <row r="498" spans="2:7">
      <c r="C498" s="356" t="s">
        <v>43</v>
      </c>
      <c r="D498" s="357"/>
      <c r="E498" s="15" t="s">
        <v>44</v>
      </c>
      <c r="F498" s="15" t="s">
        <v>45</v>
      </c>
      <c r="G498" s="16" t="s">
        <v>46</v>
      </c>
    </row>
    <row r="499" spans="2:7" ht="29">
      <c r="B499" s="19" t="s">
        <v>49</v>
      </c>
      <c r="C499" s="465" t="s">
        <v>1757</v>
      </c>
      <c r="D499" s="225"/>
      <c r="E499" s="226" t="e">
        <f>SUM(E500:E505)</f>
        <v>#DIV/0!</v>
      </c>
      <c r="F499" s="227" t="e">
        <f>SUM(F500:F505)</f>
        <v>#DIV/0!</v>
      </c>
      <c r="G499" s="358" t="s">
        <v>1788</v>
      </c>
    </row>
    <row r="500" spans="2:7">
      <c r="B500" s="19">
        <v>1</v>
      </c>
      <c r="C500" s="215" t="s">
        <v>55</v>
      </c>
      <c r="D500" s="215"/>
      <c r="E500" s="288" t="e">
        <f>I500/$H$9</f>
        <v>#DIV/0!</v>
      </c>
      <c r="F500" s="288" t="e">
        <f>J500/$H$9</f>
        <v>#DIV/0!</v>
      </c>
      <c r="G500" s="359"/>
    </row>
    <row r="501" spans="2:7">
      <c r="B501" s="19">
        <f>B500+1</f>
        <v>2</v>
      </c>
      <c r="C501" s="215" t="s">
        <v>1732</v>
      </c>
      <c r="D501" s="215"/>
      <c r="E501" s="288" t="e">
        <f>I501/$H$9</f>
        <v>#DIV/0!</v>
      </c>
      <c r="F501" s="288" t="e">
        <f>J501/$H$9</f>
        <v>#DIV/0!</v>
      </c>
      <c r="G501" s="359"/>
    </row>
    <row r="502" spans="2:7">
      <c r="B502" s="19">
        <f>B501+1</f>
        <v>3</v>
      </c>
      <c r="C502" s="220" t="s">
        <v>57</v>
      </c>
      <c r="D502" s="220"/>
      <c r="E502" s="288" t="e">
        <f t="shared" ref="E502:E504" si="61">I502/$H$9</f>
        <v>#DIV/0!</v>
      </c>
      <c r="F502" s="288" t="e">
        <f t="shared" ref="F502:F504" si="62">J502/$H$9</f>
        <v>#DIV/0!</v>
      </c>
      <c r="G502" s="359"/>
    </row>
    <row r="503" spans="2:7">
      <c r="B503" s="19">
        <f>B502+1</f>
        <v>4</v>
      </c>
      <c r="C503" s="221" t="s">
        <v>62</v>
      </c>
      <c r="D503" s="221"/>
      <c r="E503" s="288" t="e">
        <f t="shared" si="61"/>
        <v>#DIV/0!</v>
      </c>
      <c r="F503" s="288" t="e">
        <f t="shared" si="62"/>
        <v>#DIV/0!</v>
      </c>
      <c r="G503" s="359"/>
    </row>
    <row r="504" spans="2:7">
      <c r="B504" s="19">
        <f>B503+1</f>
        <v>5</v>
      </c>
      <c r="C504" s="215" t="s">
        <v>64</v>
      </c>
      <c r="D504" s="215"/>
      <c r="E504" s="288" t="e">
        <f t="shared" si="61"/>
        <v>#DIV/0!</v>
      </c>
      <c r="F504" s="288" t="e">
        <f t="shared" si="62"/>
        <v>#DIV/0!</v>
      </c>
      <c r="G504" s="359"/>
    </row>
    <row r="505" spans="2:7" ht="23">
      <c r="B505" s="19">
        <v>6</v>
      </c>
      <c r="C505" s="215" t="s">
        <v>51</v>
      </c>
      <c r="D505" s="215"/>
      <c r="E505" s="318"/>
      <c r="F505" s="319"/>
      <c r="G505" s="359"/>
    </row>
    <row r="506" spans="2:7">
      <c r="B506" s="19">
        <v>7</v>
      </c>
      <c r="C506" s="217" t="s">
        <v>65</v>
      </c>
      <c r="D506" s="217"/>
      <c r="E506" s="318"/>
      <c r="F506" s="319"/>
      <c r="G506" s="359"/>
    </row>
    <row r="507" spans="2:7">
      <c r="B507" s="19">
        <v>8</v>
      </c>
      <c r="C507" s="217" t="s">
        <v>60</v>
      </c>
      <c r="D507" s="217"/>
      <c r="E507" s="157"/>
      <c r="F507" s="157"/>
      <c r="G507" s="359"/>
    </row>
    <row r="508" spans="2:7">
      <c r="B508" s="19">
        <v>9</v>
      </c>
      <c r="C508" s="361"/>
      <c r="D508" s="362"/>
      <c r="E508" s="157"/>
      <c r="F508" s="157"/>
      <c r="G508" s="359"/>
    </row>
    <row r="509" spans="2:7">
      <c r="B509" s="19">
        <v>10</v>
      </c>
      <c r="C509" s="361"/>
      <c r="D509" s="362"/>
      <c r="E509" s="157"/>
      <c r="F509" s="157"/>
      <c r="G509" s="359"/>
    </row>
    <row r="510" spans="2:7">
      <c r="B510" s="19">
        <v>11</v>
      </c>
      <c r="C510" s="361"/>
      <c r="D510" s="362"/>
      <c r="E510" s="157"/>
      <c r="F510" s="157"/>
      <c r="G510" s="359"/>
    </row>
    <row r="511" spans="2:7">
      <c r="B511" s="19">
        <v>12</v>
      </c>
      <c r="C511" s="361"/>
      <c r="D511" s="362"/>
      <c r="E511" s="157"/>
      <c r="F511" s="157"/>
      <c r="G511" s="359"/>
    </row>
    <row r="512" spans="2:7">
      <c r="B512" s="19">
        <v>13</v>
      </c>
      <c r="C512" s="361"/>
      <c r="D512" s="362"/>
      <c r="E512" s="157"/>
      <c r="F512" s="157"/>
      <c r="G512" s="359"/>
    </row>
    <row r="513" spans="2:7">
      <c r="B513" s="19">
        <v>14</v>
      </c>
      <c r="C513" s="361"/>
      <c r="D513" s="362"/>
      <c r="E513" s="157"/>
      <c r="F513" s="157"/>
      <c r="G513" s="359"/>
    </row>
    <row r="514" spans="2:7">
      <c r="B514" s="18">
        <v>15</v>
      </c>
      <c r="C514" s="363"/>
      <c r="D514" s="364"/>
      <c r="E514" s="158"/>
      <c r="F514" s="158"/>
      <c r="G514" s="360"/>
    </row>
    <row r="516" spans="2:7">
      <c r="C516" s="356" t="s">
        <v>43</v>
      </c>
      <c r="D516" s="357"/>
      <c r="E516" s="15" t="s">
        <v>44</v>
      </c>
      <c r="F516" s="15" t="s">
        <v>45</v>
      </c>
      <c r="G516" s="16" t="s">
        <v>46</v>
      </c>
    </row>
    <row r="517" spans="2:7">
      <c r="B517" s="19" t="s">
        <v>49</v>
      </c>
      <c r="C517" s="461" t="s">
        <v>1755</v>
      </c>
      <c r="D517" s="225"/>
      <c r="E517" s="226" t="e">
        <f>SUM(E518:E523)</f>
        <v>#DIV/0!</v>
      </c>
      <c r="F517" s="227" t="e">
        <f>SUM(F518:F523)</f>
        <v>#DIV/0!</v>
      </c>
      <c r="G517" s="358" t="s">
        <v>1791</v>
      </c>
    </row>
    <row r="518" spans="2:7">
      <c r="B518" s="19">
        <v>1</v>
      </c>
      <c r="C518" s="215" t="s">
        <v>55</v>
      </c>
      <c r="D518" s="215"/>
      <c r="E518" s="288" t="e">
        <f>I518/$H$9</f>
        <v>#DIV/0!</v>
      </c>
      <c r="F518" s="288" t="e">
        <f>J518/$H$9</f>
        <v>#DIV/0!</v>
      </c>
      <c r="G518" s="359"/>
    </row>
    <row r="519" spans="2:7">
      <c r="B519" s="19">
        <f>B518+1</f>
        <v>2</v>
      </c>
      <c r="C519" s="215" t="s">
        <v>1732</v>
      </c>
      <c r="D519" s="215"/>
      <c r="E519" s="288" t="e">
        <f>I519/$H$9</f>
        <v>#DIV/0!</v>
      </c>
      <c r="F519" s="288" t="e">
        <f>J519/$H$9</f>
        <v>#DIV/0!</v>
      </c>
      <c r="G519" s="359"/>
    </row>
    <row r="520" spans="2:7">
      <c r="B520" s="19">
        <f>B519+1</f>
        <v>3</v>
      </c>
      <c r="C520" s="220" t="s">
        <v>57</v>
      </c>
      <c r="D520" s="220"/>
      <c r="E520" s="288" t="e">
        <f t="shared" ref="E520:E522" si="63">I520/$H$9</f>
        <v>#DIV/0!</v>
      </c>
      <c r="F520" s="288" t="e">
        <f t="shared" ref="F520:F522" si="64">J520/$H$9</f>
        <v>#DIV/0!</v>
      </c>
      <c r="G520" s="359"/>
    </row>
    <row r="521" spans="2:7">
      <c r="B521" s="19">
        <f>B520+1</f>
        <v>4</v>
      </c>
      <c r="C521" s="221" t="s">
        <v>62</v>
      </c>
      <c r="D521" s="221"/>
      <c r="E521" s="288" t="e">
        <f t="shared" si="63"/>
        <v>#DIV/0!</v>
      </c>
      <c r="F521" s="288" t="e">
        <f t="shared" si="64"/>
        <v>#DIV/0!</v>
      </c>
      <c r="G521" s="359"/>
    </row>
    <row r="522" spans="2:7">
      <c r="B522" s="19">
        <f>B521+1</f>
        <v>5</v>
      </c>
      <c r="C522" s="215" t="s">
        <v>64</v>
      </c>
      <c r="D522" s="215"/>
      <c r="E522" s="288" t="e">
        <f t="shared" si="63"/>
        <v>#DIV/0!</v>
      </c>
      <c r="F522" s="288" t="e">
        <f t="shared" si="64"/>
        <v>#DIV/0!</v>
      </c>
      <c r="G522" s="359"/>
    </row>
    <row r="523" spans="2:7" ht="23">
      <c r="B523" s="19">
        <v>6</v>
      </c>
      <c r="C523" s="215" t="s">
        <v>51</v>
      </c>
      <c r="D523" s="215"/>
      <c r="E523" s="318"/>
      <c r="F523" s="319"/>
      <c r="G523" s="359"/>
    </row>
    <row r="524" spans="2:7">
      <c r="B524" s="19">
        <v>7</v>
      </c>
      <c r="C524" s="217" t="s">
        <v>65</v>
      </c>
      <c r="D524" s="217"/>
      <c r="E524" s="318"/>
      <c r="F524" s="319"/>
      <c r="G524" s="359"/>
    </row>
    <row r="525" spans="2:7">
      <c r="B525" s="19">
        <v>8</v>
      </c>
      <c r="C525" s="217" t="s">
        <v>60</v>
      </c>
      <c r="D525" s="217"/>
      <c r="E525" s="157"/>
      <c r="F525" s="157"/>
      <c r="G525" s="359"/>
    </row>
    <row r="526" spans="2:7">
      <c r="B526" s="19">
        <v>9</v>
      </c>
      <c r="C526" s="361"/>
      <c r="D526" s="362"/>
      <c r="E526" s="157"/>
      <c r="F526" s="157"/>
      <c r="G526" s="359"/>
    </row>
    <row r="527" spans="2:7">
      <c r="B527" s="19">
        <v>10</v>
      </c>
      <c r="C527" s="361"/>
      <c r="D527" s="362"/>
      <c r="E527" s="157"/>
      <c r="F527" s="157"/>
      <c r="G527" s="359"/>
    </row>
    <row r="528" spans="2:7">
      <c r="B528" s="19">
        <v>11</v>
      </c>
      <c r="C528" s="361"/>
      <c r="D528" s="362"/>
      <c r="E528" s="157"/>
      <c r="F528" s="157"/>
      <c r="G528" s="359"/>
    </row>
    <row r="529" spans="2:7">
      <c r="B529" s="19">
        <v>12</v>
      </c>
      <c r="C529" s="361"/>
      <c r="D529" s="362"/>
      <c r="E529" s="157"/>
      <c r="F529" s="157"/>
      <c r="G529" s="359"/>
    </row>
    <row r="530" spans="2:7">
      <c r="B530" s="19">
        <v>13</v>
      </c>
      <c r="C530" s="361"/>
      <c r="D530" s="362"/>
      <c r="E530" s="157"/>
      <c r="F530" s="157"/>
      <c r="G530" s="359"/>
    </row>
    <row r="531" spans="2:7">
      <c r="B531" s="19">
        <v>14</v>
      </c>
      <c r="C531" s="361"/>
      <c r="D531" s="362"/>
      <c r="E531" s="157"/>
      <c r="F531" s="157"/>
      <c r="G531" s="359"/>
    </row>
    <row r="532" spans="2:7">
      <c r="B532" s="18">
        <v>15</v>
      </c>
      <c r="C532" s="363"/>
      <c r="D532" s="364"/>
      <c r="E532" s="158"/>
      <c r="F532" s="158"/>
      <c r="G532" s="360"/>
    </row>
    <row r="534" spans="2:7">
      <c r="C534" s="356" t="s">
        <v>43</v>
      </c>
      <c r="D534" s="357"/>
      <c r="E534" s="15" t="s">
        <v>44</v>
      </c>
      <c r="F534" s="15" t="s">
        <v>45</v>
      </c>
      <c r="G534" s="16" t="s">
        <v>46</v>
      </c>
    </row>
    <row r="535" spans="2:7">
      <c r="B535" s="19" t="s">
        <v>49</v>
      </c>
      <c r="C535" s="461" t="s">
        <v>1756</v>
      </c>
      <c r="D535" s="225"/>
      <c r="E535" s="226" t="e">
        <f>SUM(E536:E541)</f>
        <v>#DIV/0!</v>
      </c>
      <c r="F535" s="227" t="e">
        <f>SUM(F536:F541)</f>
        <v>#DIV/0!</v>
      </c>
      <c r="G535" s="358" t="s">
        <v>1787</v>
      </c>
    </row>
    <row r="536" spans="2:7">
      <c r="B536" s="19">
        <v>1</v>
      </c>
      <c r="C536" s="215" t="s">
        <v>55</v>
      </c>
      <c r="D536" s="215"/>
      <c r="E536" s="288" t="e">
        <f>I536/$H$9</f>
        <v>#DIV/0!</v>
      </c>
      <c r="F536" s="288" t="e">
        <f>J536/$H$9</f>
        <v>#DIV/0!</v>
      </c>
      <c r="G536" s="359"/>
    </row>
    <row r="537" spans="2:7">
      <c r="B537" s="19">
        <f>B536+1</f>
        <v>2</v>
      </c>
      <c r="C537" s="215" t="s">
        <v>1732</v>
      </c>
      <c r="D537" s="215"/>
      <c r="E537" s="288" t="e">
        <f>I537/$H$9</f>
        <v>#DIV/0!</v>
      </c>
      <c r="F537" s="288" t="e">
        <f>J537/$H$9</f>
        <v>#DIV/0!</v>
      </c>
      <c r="G537" s="359"/>
    </row>
    <row r="538" spans="2:7">
      <c r="B538" s="19">
        <f>B537+1</f>
        <v>3</v>
      </c>
      <c r="C538" s="220" t="s">
        <v>57</v>
      </c>
      <c r="D538" s="220"/>
      <c r="E538" s="288" t="e">
        <f t="shared" ref="E538:E540" si="65">I538/$H$9</f>
        <v>#DIV/0!</v>
      </c>
      <c r="F538" s="288" t="e">
        <f t="shared" ref="F538:F540" si="66">J538/$H$9</f>
        <v>#DIV/0!</v>
      </c>
      <c r="G538" s="359"/>
    </row>
    <row r="539" spans="2:7">
      <c r="B539" s="19">
        <f>B538+1</f>
        <v>4</v>
      </c>
      <c r="C539" s="221" t="s">
        <v>62</v>
      </c>
      <c r="D539" s="221"/>
      <c r="E539" s="288" t="e">
        <f t="shared" si="65"/>
        <v>#DIV/0!</v>
      </c>
      <c r="F539" s="288" t="e">
        <f t="shared" si="66"/>
        <v>#DIV/0!</v>
      </c>
      <c r="G539" s="359"/>
    </row>
    <row r="540" spans="2:7">
      <c r="B540" s="19">
        <f>B539+1</f>
        <v>5</v>
      </c>
      <c r="C540" s="215" t="s">
        <v>64</v>
      </c>
      <c r="D540" s="215"/>
      <c r="E540" s="288" t="e">
        <f t="shared" si="65"/>
        <v>#DIV/0!</v>
      </c>
      <c r="F540" s="288" t="e">
        <f t="shared" si="66"/>
        <v>#DIV/0!</v>
      </c>
      <c r="G540" s="359"/>
    </row>
    <row r="541" spans="2:7" ht="23">
      <c r="B541" s="19">
        <v>6</v>
      </c>
      <c r="C541" s="215" t="s">
        <v>51</v>
      </c>
      <c r="D541" s="215"/>
      <c r="E541" s="318"/>
      <c r="F541" s="319"/>
      <c r="G541" s="359"/>
    </row>
    <row r="542" spans="2:7">
      <c r="B542" s="19">
        <v>7</v>
      </c>
      <c r="C542" s="217" t="s">
        <v>65</v>
      </c>
      <c r="D542" s="217"/>
      <c r="E542" s="318"/>
      <c r="F542" s="319"/>
      <c r="G542" s="359"/>
    </row>
    <row r="543" spans="2:7">
      <c r="B543" s="19">
        <v>8</v>
      </c>
      <c r="C543" s="217" t="s">
        <v>60</v>
      </c>
      <c r="D543" s="217"/>
      <c r="E543" s="157"/>
      <c r="F543" s="157"/>
      <c r="G543" s="359"/>
    </row>
    <row r="544" spans="2:7">
      <c r="B544" s="19">
        <v>9</v>
      </c>
      <c r="C544" s="361"/>
      <c r="D544" s="362"/>
      <c r="E544" s="157"/>
      <c r="F544" s="157"/>
      <c r="G544" s="359"/>
    </row>
    <row r="545" spans="2:7">
      <c r="B545" s="19">
        <v>10</v>
      </c>
      <c r="C545" s="361"/>
      <c r="D545" s="362"/>
      <c r="E545" s="157"/>
      <c r="F545" s="157"/>
      <c r="G545" s="359"/>
    </row>
    <row r="546" spans="2:7">
      <c r="B546" s="19">
        <v>11</v>
      </c>
      <c r="C546" s="361"/>
      <c r="D546" s="362"/>
      <c r="E546" s="157"/>
      <c r="F546" s="157"/>
      <c r="G546" s="359"/>
    </row>
    <row r="547" spans="2:7">
      <c r="B547" s="19">
        <v>12</v>
      </c>
      <c r="C547" s="361"/>
      <c r="D547" s="362"/>
      <c r="E547" s="157"/>
      <c r="F547" s="157"/>
      <c r="G547" s="359"/>
    </row>
    <row r="548" spans="2:7">
      <c r="B548" s="19">
        <v>13</v>
      </c>
      <c r="C548" s="361"/>
      <c r="D548" s="362"/>
      <c r="E548" s="157"/>
      <c r="F548" s="157"/>
      <c r="G548" s="359"/>
    </row>
    <row r="549" spans="2:7">
      <c r="B549" s="19">
        <v>14</v>
      </c>
      <c r="C549" s="361"/>
      <c r="D549" s="362"/>
      <c r="E549" s="157"/>
      <c r="F549" s="157"/>
      <c r="G549" s="359"/>
    </row>
    <row r="550" spans="2:7">
      <c r="B550" s="18">
        <v>15</v>
      </c>
      <c r="C550" s="363"/>
      <c r="D550" s="364"/>
      <c r="E550" s="158"/>
      <c r="F550" s="158"/>
      <c r="G550" s="360"/>
    </row>
    <row r="552" spans="2:7">
      <c r="C552" s="356" t="s">
        <v>43</v>
      </c>
      <c r="D552" s="357"/>
      <c r="E552" s="15" t="s">
        <v>44</v>
      </c>
      <c r="F552" s="15" t="s">
        <v>45</v>
      </c>
      <c r="G552" s="16" t="s">
        <v>46</v>
      </c>
    </row>
    <row r="553" spans="2:7">
      <c r="B553" s="19" t="s">
        <v>49</v>
      </c>
      <c r="C553" s="461" t="s">
        <v>1758</v>
      </c>
      <c r="D553" s="225"/>
      <c r="E553" s="226" t="e">
        <f>SUM(E554:E559)</f>
        <v>#DIV/0!</v>
      </c>
      <c r="F553" s="227" t="e">
        <f>SUM(F554:F559)</f>
        <v>#DIV/0!</v>
      </c>
      <c r="G553" s="358" t="s">
        <v>1789</v>
      </c>
    </row>
    <row r="554" spans="2:7">
      <c r="B554" s="19">
        <v>1</v>
      </c>
      <c r="C554" s="215" t="s">
        <v>55</v>
      </c>
      <c r="D554" s="215"/>
      <c r="E554" s="288" t="e">
        <f>I554/$H$9</f>
        <v>#DIV/0!</v>
      </c>
      <c r="F554" s="288" t="e">
        <f>J554/$H$9</f>
        <v>#DIV/0!</v>
      </c>
      <c r="G554" s="359"/>
    </row>
    <row r="555" spans="2:7">
      <c r="B555" s="19">
        <f>B554+1</f>
        <v>2</v>
      </c>
      <c r="C555" s="215" t="s">
        <v>1732</v>
      </c>
      <c r="D555" s="215"/>
      <c r="E555" s="288" t="e">
        <f>I555/$H$9</f>
        <v>#DIV/0!</v>
      </c>
      <c r="F555" s="288" t="e">
        <f>J555/$H$9</f>
        <v>#DIV/0!</v>
      </c>
      <c r="G555" s="359"/>
    </row>
    <row r="556" spans="2:7">
      <c r="B556" s="19">
        <f>B555+1</f>
        <v>3</v>
      </c>
      <c r="C556" s="220" t="s">
        <v>57</v>
      </c>
      <c r="D556" s="220"/>
      <c r="E556" s="288" t="e">
        <f t="shared" ref="E556:E558" si="67">I556/$H$9</f>
        <v>#DIV/0!</v>
      </c>
      <c r="F556" s="288" t="e">
        <f t="shared" ref="F556:F558" si="68">J556/$H$9</f>
        <v>#DIV/0!</v>
      </c>
      <c r="G556" s="359"/>
    </row>
    <row r="557" spans="2:7">
      <c r="B557" s="19">
        <f>B556+1</f>
        <v>4</v>
      </c>
      <c r="C557" s="221" t="s">
        <v>62</v>
      </c>
      <c r="D557" s="221"/>
      <c r="E557" s="288" t="e">
        <f t="shared" si="67"/>
        <v>#DIV/0!</v>
      </c>
      <c r="F557" s="288" t="e">
        <f t="shared" si="68"/>
        <v>#DIV/0!</v>
      </c>
      <c r="G557" s="359"/>
    </row>
    <row r="558" spans="2:7">
      <c r="B558" s="19">
        <f>B557+1</f>
        <v>5</v>
      </c>
      <c r="C558" s="215" t="s">
        <v>64</v>
      </c>
      <c r="D558" s="215"/>
      <c r="E558" s="288" t="e">
        <f t="shared" si="67"/>
        <v>#DIV/0!</v>
      </c>
      <c r="F558" s="288" t="e">
        <f t="shared" si="68"/>
        <v>#DIV/0!</v>
      </c>
      <c r="G558" s="359"/>
    </row>
    <row r="559" spans="2:7" ht="23">
      <c r="B559" s="19">
        <v>6</v>
      </c>
      <c r="C559" s="215" t="s">
        <v>51</v>
      </c>
      <c r="D559" s="215"/>
      <c r="E559" s="318"/>
      <c r="F559" s="319"/>
      <c r="G559" s="359"/>
    </row>
    <row r="560" spans="2:7">
      <c r="B560" s="19">
        <v>7</v>
      </c>
      <c r="C560" s="217" t="s">
        <v>65</v>
      </c>
      <c r="D560" s="217"/>
      <c r="E560" s="318"/>
      <c r="F560" s="319"/>
      <c r="G560" s="359"/>
    </row>
    <row r="561" spans="2:7">
      <c r="B561" s="19">
        <v>8</v>
      </c>
      <c r="C561" s="217" t="s">
        <v>60</v>
      </c>
      <c r="D561" s="217"/>
      <c r="E561" s="157"/>
      <c r="F561" s="157"/>
      <c r="G561" s="359"/>
    </row>
    <row r="562" spans="2:7">
      <c r="B562" s="19">
        <v>9</v>
      </c>
      <c r="C562" s="361"/>
      <c r="D562" s="362"/>
      <c r="E562" s="157"/>
      <c r="F562" s="157"/>
      <c r="G562" s="359"/>
    </row>
    <row r="563" spans="2:7">
      <c r="B563" s="19">
        <v>10</v>
      </c>
      <c r="C563" s="361"/>
      <c r="D563" s="362"/>
      <c r="E563" s="157"/>
      <c r="F563" s="157"/>
      <c r="G563" s="359"/>
    </row>
    <row r="564" spans="2:7">
      <c r="B564" s="19">
        <v>11</v>
      </c>
      <c r="C564" s="361"/>
      <c r="D564" s="362"/>
      <c r="E564" s="157"/>
      <c r="F564" s="157"/>
      <c r="G564" s="359"/>
    </row>
    <row r="565" spans="2:7">
      <c r="B565" s="19">
        <v>12</v>
      </c>
      <c r="C565" s="361"/>
      <c r="D565" s="362"/>
      <c r="E565" s="157"/>
      <c r="F565" s="157"/>
      <c r="G565" s="359"/>
    </row>
    <row r="566" spans="2:7">
      <c r="B566" s="19">
        <v>13</v>
      </c>
      <c r="C566" s="361"/>
      <c r="D566" s="362"/>
      <c r="E566" s="157"/>
      <c r="F566" s="157"/>
      <c r="G566" s="359"/>
    </row>
    <row r="567" spans="2:7">
      <c r="B567" s="19">
        <v>14</v>
      </c>
      <c r="C567" s="361"/>
      <c r="D567" s="362"/>
      <c r="E567" s="157"/>
      <c r="F567" s="157"/>
      <c r="G567" s="359"/>
    </row>
    <row r="568" spans="2:7">
      <c r="B568" s="18">
        <v>15</v>
      </c>
      <c r="C568" s="363"/>
      <c r="D568" s="364"/>
      <c r="E568" s="158"/>
      <c r="F568" s="158"/>
      <c r="G568" s="360"/>
    </row>
    <row r="570" spans="2:7">
      <c r="C570" s="356" t="s">
        <v>43</v>
      </c>
      <c r="D570" s="357"/>
      <c r="E570" s="15" t="s">
        <v>44</v>
      </c>
      <c r="F570" s="15" t="s">
        <v>45</v>
      </c>
      <c r="G570" s="16" t="s">
        <v>46</v>
      </c>
    </row>
    <row r="571" spans="2:7">
      <c r="B571" s="19" t="s">
        <v>49</v>
      </c>
      <c r="C571" s="461" t="s">
        <v>1759</v>
      </c>
      <c r="D571" s="225"/>
      <c r="E571" s="226" t="e">
        <f>SUM(E572:E577)</f>
        <v>#DIV/0!</v>
      </c>
      <c r="F571" s="227" t="e">
        <f>SUM(F572:F577)</f>
        <v>#DIV/0!</v>
      </c>
      <c r="G571" s="358" t="s">
        <v>1790</v>
      </c>
    </row>
    <row r="572" spans="2:7">
      <c r="B572" s="19">
        <v>1</v>
      </c>
      <c r="C572" s="215" t="s">
        <v>55</v>
      </c>
      <c r="D572" s="215"/>
      <c r="E572" s="288" t="e">
        <f>I572/$H$9</f>
        <v>#DIV/0!</v>
      </c>
      <c r="F572" s="288" t="e">
        <f>J572/$H$9</f>
        <v>#DIV/0!</v>
      </c>
      <c r="G572" s="359"/>
    </row>
    <row r="573" spans="2:7">
      <c r="B573" s="19">
        <f>B572+1</f>
        <v>2</v>
      </c>
      <c r="C573" s="215" t="s">
        <v>1732</v>
      </c>
      <c r="D573" s="215"/>
      <c r="E573" s="288" t="e">
        <f>I573/$H$9</f>
        <v>#DIV/0!</v>
      </c>
      <c r="F573" s="288" t="e">
        <f>J573/$H$9</f>
        <v>#DIV/0!</v>
      </c>
      <c r="G573" s="359"/>
    </row>
    <row r="574" spans="2:7">
      <c r="B574" s="19">
        <f>B573+1</f>
        <v>3</v>
      </c>
      <c r="C574" s="220" t="s">
        <v>57</v>
      </c>
      <c r="D574" s="220"/>
      <c r="E574" s="288" t="e">
        <f t="shared" ref="E574:E576" si="69">I574/$H$9</f>
        <v>#DIV/0!</v>
      </c>
      <c r="F574" s="288" t="e">
        <f t="shared" ref="F574:F576" si="70">J574/$H$9</f>
        <v>#DIV/0!</v>
      </c>
      <c r="G574" s="359"/>
    </row>
    <row r="575" spans="2:7">
      <c r="B575" s="19">
        <f>B574+1</f>
        <v>4</v>
      </c>
      <c r="C575" s="221" t="s">
        <v>62</v>
      </c>
      <c r="D575" s="221"/>
      <c r="E575" s="288" t="e">
        <f t="shared" si="69"/>
        <v>#DIV/0!</v>
      </c>
      <c r="F575" s="288" t="e">
        <f t="shared" si="70"/>
        <v>#DIV/0!</v>
      </c>
      <c r="G575" s="359"/>
    </row>
    <row r="576" spans="2:7">
      <c r="B576" s="19">
        <f>B575+1</f>
        <v>5</v>
      </c>
      <c r="C576" s="215" t="s">
        <v>64</v>
      </c>
      <c r="D576" s="215"/>
      <c r="E576" s="288" t="e">
        <f t="shared" si="69"/>
        <v>#DIV/0!</v>
      </c>
      <c r="F576" s="288" t="e">
        <f t="shared" si="70"/>
        <v>#DIV/0!</v>
      </c>
      <c r="G576" s="359"/>
    </row>
    <row r="577" spans="2:7" ht="23">
      <c r="B577" s="19">
        <v>6</v>
      </c>
      <c r="C577" s="215" t="s">
        <v>51</v>
      </c>
      <c r="D577" s="215"/>
      <c r="E577" s="318"/>
      <c r="F577" s="319"/>
      <c r="G577" s="359"/>
    </row>
    <row r="578" spans="2:7">
      <c r="B578" s="19">
        <v>7</v>
      </c>
      <c r="C578" s="217" t="s">
        <v>65</v>
      </c>
      <c r="D578" s="217"/>
      <c r="E578" s="318"/>
      <c r="F578" s="319"/>
      <c r="G578" s="359"/>
    </row>
    <row r="579" spans="2:7">
      <c r="B579" s="19">
        <v>8</v>
      </c>
      <c r="C579" s="217" t="s">
        <v>60</v>
      </c>
      <c r="D579" s="217"/>
      <c r="E579" s="157"/>
      <c r="F579" s="157"/>
      <c r="G579" s="359"/>
    </row>
    <row r="580" spans="2:7">
      <c r="B580" s="19">
        <v>9</v>
      </c>
      <c r="C580" s="361"/>
      <c r="D580" s="362"/>
      <c r="E580" s="157"/>
      <c r="F580" s="157"/>
      <c r="G580" s="359"/>
    </row>
    <row r="581" spans="2:7">
      <c r="B581" s="19">
        <v>10</v>
      </c>
      <c r="C581" s="361"/>
      <c r="D581" s="362"/>
      <c r="E581" s="157"/>
      <c r="F581" s="157"/>
      <c r="G581" s="359"/>
    </row>
    <row r="582" spans="2:7">
      <c r="B582" s="19">
        <v>11</v>
      </c>
      <c r="C582" s="361"/>
      <c r="D582" s="362"/>
      <c r="E582" s="157"/>
      <c r="F582" s="157"/>
      <c r="G582" s="359"/>
    </row>
    <row r="583" spans="2:7">
      <c r="B583" s="19">
        <v>12</v>
      </c>
      <c r="C583" s="361"/>
      <c r="D583" s="362"/>
      <c r="E583" s="157"/>
      <c r="F583" s="157"/>
      <c r="G583" s="359"/>
    </row>
    <row r="584" spans="2:7">
      <c r="B584" s="19">
        <v>13</v>
      </c>
      <c r="C584" s="361"/>
      <c r="D584" s="362"/>
      <c r="E584" s="157"/>
      <c r="F584" s="157"/>
      <c r="G584" s="359"/>
    </row>
    <row r="585" spans="2:7">
      <c r="B585" s="19">
        <v>14</v>
      </c>
      <c r="C585" s="361"/>
      <c r="D585" s="362"/>
      <c r="E585" s="157"/>
      <c r="F585" s="157"/>
      <c r="G585" s="359"/>
    </row>
    <row r="586" spans="2:7">
      <c r="B586" s="18">
        <v>15</v>
      </c>
      <c r="C586" s="363"/>
      <c r="D586" s="364"/>
      <c r="E586" s="158"/>
      <c r="F586" s="158"/>
      <c r="G586" s="360"/>
    </row>
    <row r="588" spans="2:7">
      <c r="C588" s="356" t="s">
        <v>43</v>
      </c>
      <c r="D588" s="357"/>
      <c r="E588" s="15" t="s">
        <v>44</v>
      </c>
      <c r="F588" s="15" t="s">
        <v>45</v>
      </c>
      <c r="G588" s="16" t="s">
        <v>46</v>
      </c>
    </row>
    <row r="589" spans="2:7" ht="29">
      <c r="B589" s="19" t="s">
        <v>49</v>
      </c>
      <c r="C589" s="440" t="s">
        <v>1761</v>
      </c>
      <c r="D589" s="225"/>
      <c r="E589" s="226" t="e">
        <f>SUM(E590:E595)</f>
        <v>#DIV/0!</v>
      </c>
      <c r="F589" s="227" t="e">
        <f>SUM(F590:F595)</f>
        <v>#DIV/0!</v>
      </c>
      <c r="G589" s="358" t="s">
        <v>1792</v>
      </c>
    </row>
    <row r="590" spans="2:7">
      <c r="B590" s="19">
        <v>1</v>
      </c>
      <c r="C590" s="215" t="s">
        <v>55</v>
      </c>
      <c r="D590" s="215"/>
      <c r="E590" s="288" t="e">
        <f>I590/$H$9</f>
        <v>#DIV/0!</v>
      </c>
      <c r="F590" s="288" t="e">
        <f>J590/$H$9</f>
        <v>#DIV/0!</v>
      </c>
      <c r="G590" s="359"/>
    </row>
    <row r="591" spans="2:7">
      <c r="B591" s="19">
        <f>B590+1</f>
        <v>2</v>
      </c>
      <c r="C591" s="215" t="s">
        <v>1732</v>
      </c>
      <c r="D591" s="215"/>
      <c r="E591" s="288" t="e">
        <f>I591/$H$9</f>
        <v>#DIV/0!</v>
      </c>
      <c r="F591" s="288" t="e">
        <f>J591/$H$9</f>
        <v>#DIV/0!</v>
      </c>
      <c r="G591" s="359"/>
    </row>
    <row r="592" spans="2:7">
      <c r="B592" s="19">
        <f>B591+1</f>
        <v>3</v>
      </c>
      <c r="C592" s="220" t="s">
        <v>57</v>
      </c>
      <c r="D592" s="220"/>
      <c r="E592" s="288" t="e">
        <f t="shared" ref="E592:E594" si="71">I592/$H$9</f>
        <v>#DIV/0!</v>
      </c>
      <c r="F592" s="288" t="e">
        <f t="shared" ref="F592:F594" si="72">J592/$H$9</f>
        <v>#DIV/0!</v>
      </c>
      <c r="G592" s="359"/>
    </row>
    <row r="593" spans="2:7">
      <c r="B593" s="19">
        <f>B592+1</f>
        <v>4</v>
      </c>
      <c r="C593" s="221" t="s">
        <v>62</v>
      </c>
      <c r="D593" s="221"/>
      <c r="E593" s="288" t="e">
        <f t="shared" si="71"/>
        <v>#DIV/0!</v>
      </c>
      <c r="F593" s="288" t="e">
        <f t="shared" si="72"/>
        <v>#DIV/0!</v>
      </c>
      <c r="G593" s="359"/>
    </row>
    <row r="594" spans="2:7">
      <c r="B594" s="19">
        <f>B593+1</f>
        <v>5</v>
      </c>
      <c r="C594" s="215" t="s">
        <v>64</v>
      </c>
      <c r="D594" s="215"/>
      <c r="E594" s="288" t="e">
        <f t="shared" si="71"/>
        <v>#DIV/0!</v>
      </c>
      <c r="F594" s="288" t="e">
        <f t="shared" si="72"/>
        <v>#DIV/0!</v>
      </c>
      <c r="G594" s="359"/>
    </row>
    <row r="595" spans="2:7" ht="23">
      <c r="B595" s="19">
        <v>6</v>
      </c>
      <c r="C595" s="215" t="s">
        <v>51</v>
      </c>
      <c r="D595" s="215"/>
      <c r="E595" s="318"/>
      <c r="F595" s="319"/>
      <c r="G595" s="359"/>
    </row>
    <row r="596" spans="2:7">
      <c r="B596" s="19">
        <v>7</v>
      </c>
      <c r="C596" s="217" t="s">
        <v>65</v>
      </c>
      <c r="D596" s="217"/>
      <c r="E596" s="318"/>
      <c r="F596" s="319"/>
      <c r="G596" s="359"/>
    </row>
    <row r="597" spans="2:7">
      <c r="B597" s="19">
        <v>8</v>
      </c>
      <c r="C597" s="217" t="s">
        <v>60</v>
      </c>
      <c r="D597" s="217"/>
      <c r="E597" s="157"/>
      <c r="F597" s="157"/>
      <c r="G597" s="359"/>
    </row>
    <row r="598" spans="2:7">
      <c r="B598" s="19">
        <v>9</v>
      </c>
      <c r="C598" s="361"/>
      <c r="D598" s="362"/>
      <c r="E598" s="157"/>
      <c r="F598" s="157"/>
      <c r="G598" s="359"/>
    </row>
    <row r="599" spans="2:7">
      <c r="B599" s="19">
        <v>10</v>
      </c>
      <c r="C599" s="361"/>
      <c r="D599" s="362"/>
      <c r="E599" s="157"/>
      <c r="F599" s="157"/>
      <c r="G599" s="359"/>
    </row>
    <row r="600" spans="2:7">
      <c r="B600" s="19">
        <v>11</v>
      </c>
      <c r="C600" s="361"/>
      <c r="D600" s="362"/>
      <c r="E600" s="157"/>
      <c r="F600" s="157"/>
      <c r="G600" s="359"/>
    </row>
    <row r="601" spans="2:7">
      <c r="B601" s="19">
        <v>12</v>
      </c>
      <c r="C601" s="361"/>
      <c r="D601" s="362"/>
      <c r="E601" s="157"/>
      <c r="F601" s="157"/>
      <c r="G601" s="359"/>
    </row>
    <row r="602" spans="2:7">
      <c r="B602" s="19">
        <v>13</v>
      </c>
      <c r="C602" s="361"/>
      <c r="D602" s="362"/>
      <c r="E602" s="157"/>
      <c r="F602" s="157"/>
      <c r="G602" s="359"/>
    </row>
    <row r="603" spans="2:7">
      <c r="B603" s="19">
        <v>14</v>
      </c>
      <c r="C603" s="361"/>
      <c r="D603" s="362"/>
      <c r="E603" s="157"/>
      <c r="F603" s="157"/>
      <c r="G603" s="359"/>
    </row>
    <row r="604" spans="2:7">
      <c r="B604" s="18">
        <v>15</v>
      </c>
      <c r="C604" s="363"/>
      <c r="D604" s="364"/>
      <c r="E604" s="158"/>
      <c r="F604" s="158"/>
      <c r="G604" s="360"/>
    </row>
    <row r="606" spans="2:7">
      <c r="C606" s="356" t="s">
        <v>43</v>
      </c>
      <c r="D606" s="357"/>
      <c r="E606" s="15" t="s">
        <v>44</v>
      </c>
      <c r="F606" s="15" t="s">
        <v>45</v>
      </c>
      <c r="G606" s="16" t="s">
        <v>46</v>
      </c>
    </row>
    <row r="607" spans="2:7" ht="15.5" customHeight="1">
      <c r="B607" s="19" t="s">
        <v>49</v>
      </c>
      <c r="C607" t="s">
        <v>1762</v>
      </c>
      <c r="D607" s="228"/>
      <c r="E607" s="226" t="e">
        <f>SUM(E608:E614)</f>
        <v>#DIV/0!</v>
      </c>
      <c r="F607" s="227" t="e">
        <f>SUM(F608:F614)</f>
        <v>#DIV/0!</v>
      </c>
      <c r="G607" s="358" t="s">
        <v>1792</v>
      </c>
    </row>
    <row r="608" spans="2:7">
      <c r="B608" s="19">
        <v>1</v>
      </c>
      <c r="C608" s="215" t="s">
        <v>55</v>
      </c>
      <c r="D608" s="215"/>
      <c r="E608" s="288" t="e">
        <f>I608/$H$9</f>
        <v>#DIV/0!</v>
      </c>
      <c r="F608" s="288" t="e">
        <f>J608/$H$9</f>
        <v>#DIV/0!</v>
      </c>
      <c r="G608" s="359"/>
    </row>
    <row r="609" spans="2:7">
      <c r="B609" s="19">
        <f>B608+1</f>
        <v>2</v>
      </c>
      <c r="C609" s="215" t="s">
        <v>1732</v>
      </c>
      <c r="D609" s="215"/>
      <c r="E609" s="288" t="e">
        <f t="shared" ref="E609:E613" si="73">I609/$H$9</f>
        <v>#DIV/0!</v>
      </c>
      <c r="F609" s="288" t="e">
        <f t="shared" ref="F609:F613" si="74">J609/$H$9</f>
        <v>#DIV/0!</v>
      </c>
      <c r="G609" s="359"/>
    </row>
    <row r="610" spans="2:7">
      <c r="B610" s="19">
        <f>B609+1</f>
        <v>3</v>
      </c>
      <c r="C610" s="220" t="s">
        <v>57</v>
      </c>
      <c r="D610" s="220"/>
      <c r="E610" s="288" t="e">
        <f t="shared" si="73"/>
        <v>#DIV/0!</v>
      </c>
      <c r="F610" s="288" t="e">
        <f t="shared" si="74"/>
        <v>#DIV/0!</v>
      </c>
      <c r="G610" s="359"/>
    </row>
    <row r="611" spans="2:7">
      <c r="B611" s="19">
        <f>B609+1</f>
        <v>3</v>
      </c>
      <c r="C611" s="221" t="s">
        <v>62</v>
      </c>
      <c r="D611" s="221"/>
      <c r="E611" s="288" t="e">
        <f t="shared" si="73"/>
        <v>#DIV/0!</v>
      </c>
      <c r="F611" s="288" t="e">
        <f t="shared" si="74"/>
        <v>#DIV/0!</v>
      </c>
      <c r="G611" s="359"/>
    </row>
    <row r="612" spans="2:7">
      <c r="B612" s="19">
        <f>B610+1</f>
        <v>4</v>
      </c>
      <c r="C612" s="215" t="s">
        <v>64</v>
      </c>
      <c r="D612" s="215"/>
      <c r="E612" s="288" t="e">
        <f t="shared" si="73"/>
        <v>#DIV/0!</v>
      </c>
      <c r="F612" s="288" t="e">
        <f t="shared" si="74"/>
        <v>#DIV/0!</v>
      </c>
      <c r="G612" s="359"/>
    </row>
    <row r="613" spans="2:7" ht="23">
      <c r="B613" s="19">
        <f>B612+1</f>
        <v>5</v>
      </c>
      <c r="C613" s="215" t="s">
        <v>51</v>
      </c>
      <c r="D613" s="215"/>
      <c r="E613" s="288" t="e">
        <f t="shared" si="73"/>
        <v>#DIV/0!</v>
      </c>
      <c r="F613" s="288" t="e">
        <f t="shared" si="74"/>
        <v>#DIV/0!</v>
      </c>
      <c r="G613" s="359"/>
    </row>
    <row r="614" spans="2:7">
      <c r="B614" s="19">
        <v>7</v>
      </c>
      <c r="C614" s="217" t="s">
        <v>65</v>
      </c>
      <c r="D614" s="217"/>
      <c r="E614" s="318"/>
      <c r="F614" s="319"/>
      <c r="G614" s="359"/>
    </row>
    <row r="615" spans="2:7">
      <c r="B615" s="19">
        <v>8</v>
      </c>
      <c r="C615" s="217" t="s">
        <v>60</v>
      </c>
      <c r="D615" s="217"/>
      <c r="E615" s="157"/>
      <c r="F615" s="157"/>
      <c r="G615" s="359"/>
    </row>
    <row r="616" spans="2:7">
      <c r="B616" s="19">
        <v>9</v>
      </c>
      <c r="C616" s="361"/>
      <c r="D616" s="362"/>
      <c r="E616" s="157"/>
      <c r="F616" s="157"/>
      <c r="G616" s="359"/>
    </row>
    <row r="617" spans="2:7">
      <c r="B617" s="19">
        <v>10</v>
      </c>
      <c r="C617" s="361"/>
      <c r="D617" s="362"/>
      <c r="E617" s="157"/>
      <c r="F617" s="157"/>
      <c r="G617" s="359"/>
    </row>
    <row r="618" spans="2:7">
      <c r="B618" s="19">
        <v>11</v>
      </c>
      <c r="C618" s="361"/>
      <c r="D618" s="362"/>
      <c r="E618" s="157"/>
      <c r="F618" s="157"/>
      <c r="G618" s="359"/>
    </row>
    <row r="619" spans="2:7">
      <c r="B619" s="19">
        <v>12</v>
      </c>
      <c r="C619" s="361"/>
      <c r="D619" s="362"/>
      <c r="E619" s="157"/>
      <c r="F619" s="157"/>
      <c r="G619" s="359"/>
    </row>
    <row r="620" spans="2:7">
      <c r="B620" s="19">
        <v>13</v>
      </c>
      <c r="C620" s="361"/>
      <c r="D620" s="362"/>
      <c r="E620" s="157"/>
      <c r="F620" s="157"/>
      <c r="G620" s="359"/>
    </row>
    <row r="621" spans="2:7">
      <c r="B621" s="19">
        <v>14</v>
      </c>
      <c r="C621" s="361"/>
      <c r="D621" s="362"/>
      <c r="E621" s="157"/>
      <c r="F621" s="157"/>
      <c r="G621" s="359"/>
    </row>
    <row r="622" spans="2:7">
      <c r="B622" s="18">
        <v>15</v>
      </c>
      <c r="C622" s="363"/>
      <c r="D622" s="364"/>
      <c r="E622" s="158"/>
      <c r="F622" s="158"/>
      <c r="G622" s="360"/>
    </row>
    <row r="624" spans="2:7">
      <c r="C624" s="356" t="s">
        <v>43</v>
      </c>
      <c r="D624" s="357"/>
      <c r="E624" s="15" t="s">
        <v>44</v>
      </c>
      <c r="F624" s="15" t="s">
        <v>45</v>
      </c>
      <c r="G624" s="16" t="s">
        <v>46</v>
      </c>
    </row>
    <row r="625" spans="2:7" ht="31">
      <c r="B625" s="19" t="s">
        <v>49</v>
      </c>
      <c r="C625" s="52" t="s">
        <v>1763</v>
      </c>
      <c r="D625" s="228"/>
      <c r="E625" s="226" t="e">
        <f>SUM(E626:E632)</f>
        <v>#DIV/0!</v>
      </c>
      <c r="F625" s="227" t="e">
        <f>SUM(F626:F632)</f>
        <v>#DIV/0!</v>
      </c>
      <c r="G625" s="358" t="s">
        <v>1792</v>
      </c>
    </row>
    <row r="626" spans="2:7">
      <c r="B626" s="19">
        <v>1</v>
      </c>
      <c r="C626" s="215" t="s">
        <v>55</v>
      </c>
      <c r="D626" s="215"/>
      <c r="E626" s="288" t="e">
        <f>I626/$H$9</f>
        <v>#DIV/0!</v>
      </c>
      <c r="F626" s="288" t="e">
        <f>J626/$H$9</f>
        <v>#DIV/0!</v>
      </c>
      <c r="G626" s="359"/>
    </row>
    <row r="627" spans="2:7">
      <c r="B627" s="19">
        <f>B626+1</f>
        <v>2</v>
      </c>
      <c r="C627" s="215" t="s">
        <v>1732</v>
      </c>
      <c r="D627" s="215"/>
      <c r="E627" s="288" t="e">
        <f t="shared" ref="E627:E631" si="75">I627/$H$9</f>
        <v>#DIV/0!</v>
      </c>
      <c r="F627" s="288" t="e">
        <f t="shared" ref="F627:F631" si="76">J627/$H$9</f>
        <v>#DIV/0!</v>
      </c>
      <c r="G627" s="359"/>
    </row>
    <row r="628" spans="2:7">
      <c r="B628" s="19">
        <f>B627+1</f>
        <v>3</v>
      </c>
      <c r="C628" s="220" t="s">
        <v>57</v>
      </c>
      <c r="D628" s="220"/>
      <c r="E628" s="288" t="e">
        <f t="shared" si="75"/>
        <v>#DIV/0!</v>
      </c>
      <c r="F628" s="288" t="e">
        <f t="shared" si="76"/>
        <v>#DIV/0!</v>
      </c>
      <c r="G628" s="359"/>
    </row>
    <row r="629" spans="2:7">
      <c r="B629" s="19">
        <f>B627+1</f>
        <v>3</v>
      </c>
      <c r="C629" s="221" t="s">
        <v>62</v>
      </c>
      <c r="D629" s="221"/>
      <c r="E629" s="288" t="e">
        <f t="shared" si="75"/>
        <v>#DIV/0!</v>
      </c>
      <c r="F629" s="288" t="e">
        <f t="shared" si="76"/>
        <v>#DIV/0!</v>
      </c>
      <c r="G629" s="359"/>
    </row>
    <row r="630" spans="2:7">
      <c r="B630" s="19">
        <f>B628+1</f>
        <v>4</v>
      </c>
      <c r="C630" s="215" t="s">
        <v>64</v>
      </c>
      <c r="D630" s="215"/>
      <c r="E630" s="288" t="e">
        <f t="shared" si="75"/>
        <v>#DIV/0!</v>
      </c>
      <c r="F630" s="288" t="e">
        <f t="shared" si="76"/>
        <v>#DIV/0!</v>
      </c>
      <c r="G630" s="359"/>
    </row>
    <row r="631" spans="2:7" ht="23">
      <c r="B631" s="19">
        <f>B630+1</f>
        <v>5</v>
      </c>
      <c r="C631" s="215" t="s">
        <v>51</v>
      </c>
      <c r="D631" s="215"/>
      <c r="E631" s="288" t="e">
        <f t="shared" si="75"/>
        <v>#DIV/0!</v>
      </c>
      <c r="F631" s="288" t="e">
        <f t="shared" si="76"/>
        <v>#DIV/0!</v>
      </c>
      <c r="G631" s="359"/>
    </row>
    <row r="632" spans="2:7">
      <c r="B632" s="19">
        <v>7</v>
      </c>
      <c r="C632" s="217" t="s">
        <v>65</v>
      </c>
      <c r="D632" s="217"/>
      <c r="E632" s="318"/>
      <c r="F632" s="319"/>
      <c r="G632" s="359"/>
    </row>
    <row r="633" spans="2:7">
      <c r="B633" s="19">
        <v>8</v>
      </c>
      <c r="C633" s="217" t="s">
        <v>60</v>
      </c>
      <c r="D633" s="217"/>
      <c r="E633" s="157"/>
      <c r="F633" s="157"/>
      <c r="G633" s="359"/>
    </row>
    <row r="634" spans="2:7">
      <c r="B634" s="19">
        <v>9</v>
      </c>
      <c r="C634" s="361"/>
      <c r="D634" s="362"/>
      <c r="E634" s="157"/>
      <c r="F634" s="157"/>
      <c r="G634" s="359"/>
    </row>
    <row r="635" spans="2:7">
      <c r="B635" s="19">
        <v>10</v>
      </c>
      <c r="C635" s="361"/>
      <c r="D635" s="362"/>
      <c r="E635" s="157"/>
      <c r="F635" s="157"/>
      <c r="G635" s="359"/>
    </row>
    <row r="636" spans="2:7">
      <c r="B636" s="19">
        <v>11</v>
      </c>
      <c r="C636" s="361"/>
      <c r="D636" s="362"/>
      <c r="E636" s="157"/>
      <c r="F636" s="157"/>
      <c r="G636" s="359"/>
    </row>
    <row r="637" spans="2:7">
      <c r="B637" s="19">
        <v>12</v>
      </c>
      <c r="C637" s="361"/>
      <c r="D637" s="362"/>
      <c r="E637" s="157"/>
      <c r="F637" s="157"/>
      <c r="G637" s="359"/>
    </row>
    <row r="638" spans="2:7">
      <c r="B638" s="19">
        <v>13</v>
      </c>
      <c r="C638" s="361"/>
      <c r="D638" s="362"/>
      <c r="E638" s="157"/>
      <c r="F638" s="157"/>
      <c r="G638" s="359"/>
    </row>
    <row r="639" spans="2:7">
      <c r="B639" s="19">
        <v>14</v>
      </c>
      <c r="C639" s="361"/>
      <c r="D639" s="362"/>
      <c r="E639" s="157"/>
      <c r="F639" s="157"/>
      <c r="G639" s="359"/>
    </row>
    <row r="640" spans="2:7">
      <c r="B640" s="18">
        <v>15</v>
      </c>
      <c r="C640" s="363"/>
      <c r="D640" s="364"/>
      <c r="E640" s="158"/>
      <c r="F640" s="158"/>
      <c r="G640" s="360"/>
    </row>
    <row r="642" spans="2:7">
      <c r="C642" s="356" t="s">
        <v>43</v>
      </c>
      <c r="D642" s="357"/>
      <c r="E642" s="15" t="s">
        <v>44</v>
      </c>
      <c r="F642" s="15" t="s">
        <v>45</v>
      </c>
      <c r="G642" s="16" t="s">
        <v>46</v>
      </c>
    </row>
    <row r="643" spans="2:7" ht="15.5" customHeight="1">
      <c r="B643" s="19" t="s">
        <v>49</v>
      </c>
      <c r="C643" s="5" t="s">
        <v>1764</v>
      </c>
      <c r="D643" s="228"/>
      <c r="E643" s="226" t="e">
        <f>SUM(E644:E650)</f>
        <v>#DIV/0!</v>
      </c>
      <c r="F643" s="227" t="e">
        <f>SUM(F644:F650)</f>
        <v>#DIV/0!</v>
      </c>
      <c r="G643" s="358" t="s">
        <v>1792</v>
      </c>
    </row>
    <row r="644" spans="2:7" ht="34.5">
      <c r="B644" s="19">
        <v>1</v>
      </c>
      <c r="C644" s="215" t="s">
        <v>55</v>
      </c>
      <c r="D644" s="215" t="s">
        <v>55</v>
      </c>
      <c r="E644" s="288" t="e">
        <f>I644/$H$9</f>
        <v>#DIV/0!</v>
      </c>
      <c r="F644" s="288" t="e">
        <f>J644/$H$9</f>
        <v>#DIV/0!</v>
      </c>
      <c r="G644" s="359"/>
    </row>
    <row r="645" spans="2:7" ht="23">
      <c r="B645" s="19">
        <f>B644+1</f>
        <v>2</v>
      </c>
      <c r="C645" s="215" t="s">
        <v>1732</v>
      </c>
      <c r="D645" s="215" t="s">
        <v>1732</v>
      </c>
      <c r="E645" s="288" t="e">
        <f t="shared" ref="E645:E649" si="77">I645/$H$9</f>
        <v>#DIV/0!</v>
      </c>
      <c r="F645" s="288" t="e">
        <f t="shared" ref="F645:F649" si="78">J645/$H$9</f>
        <v>#DIV/0!</v>
      </c>
      <c r="G645" s="359"/>
    </row>
    <row r="646" spans="2:7" ht="23">
      <c r="B646" s="19">
        <f>B645+1</f>
        <v>3</v>
      </c>
      <c r="C646" s="220" t="s">
        <v>57</v>
      </c>
      <c r="D646" s="220" t="s">
        <v>57</v>
      </c>
      <c r="E646" s="288" t="e">
        <f t="shared" si="77"/>
        <v>#DIV/0!</v>
      </c>
      <c r="F646" s="288" t="e">
        <f t="shared" si="78"/>
        <v>#DIV/0!</v>
      </c>
      <c r="G646" s="359"/>
    </row>
    <row r="647" spans="2:7" ht="34.5">
      <c r="B647" s="19">
        <f>B645+1</f>
        <v>3</v>
      </c>
      <c r="C647" s="221" t="s">
        <v>62</v>
      </c>
      <c r="D647" s="221" t="s">
        <v>62</v>
      </c>
      <c r="E647" s="288" t="e">
        <f t="shared" si="77"/>
        <v>#DIV/0!</v>
      </c>
      <c r="F647" s="288" t="e">
        <f t="shared" si="78"/>
        <v>#DIV/0!</v>
      </c>
      <c r="G647" s="359"/>
    </row>
    <row r="648" spans="2:7">
      <c r="B648" s="19">
        <f>B646+1</f>
        <v>4</v>
      </c>
      <c r="C648" s="215" t="s">
        <v>64</v>
      </c>
      <c r="D648" s="215" t="s">
        <v>64</v>
      </c>
      <c r="E648" s="288" t="e">
        <f t="shared" si="77"/>
        <v>#DIV/0!</v>
      </c>
      <c r="F648" s="288" t="e">
        <f t="shared" si="78"/>
        <v>#DIV/0!</v>
      </c>
      <c r="G648" s="359"/>
    </row>
    <row r="649" spans="2:7" ht="34.5">
      <c r="B649" s="19">
        <f>B648+1</f>
        <v>5</v>
      </c>
      <c r="C649" s="215" t="s">
        <v>51</v>
      </c>
      <c r="D649" s="215" t="s">
        <v>51</v>
      </c>
      <c r="E649" s="288" t="e">
        <f t="shared" si="77"/>
        <v>#DIV/0!</v>
      </c>
      <c r="F649" s="288" t="e">
        <f t="shared" si="78"/>
        <v>#DIV/0!</v>
      </c>
      <c r="G649" s="359"/>
    </row>
    <row r="650" spans="2:7" ht="23">
      <c r="B650" s="19">
        <v>7</v>
      </c>
      <c r="C650" s="217" t="s">
        <v>65</v>
      </c>
      <c r="D650" s="217" t="s">
        <v>65</v>
      </c>
      <c r="E650" s="318"/>
      <c r="F650" s="319"/>
      <c r="G650" s="359"/>
    </row>
    <row r="651" spans="2:7" ht="34.5">
      <c r="B651" s="19">
        <v>8</v>
      </c>
      <c r="C651" s="217" t="s">
        <v>60</v>
      </c>
      <c r="D651" s="217" t="s">
        <v>60</v>
      </c>
      <c r="E651" s="157"/>
      <c r="F651" s="157"/>
      <c r="G651" s="359"/>
    </row>
    <row r="652" spans="2:7">
      <c r="B652" s="19">
        <v>9</v>
      </c>
      <c r="C652" s="361"/>
      <c r="D652" s="362"/>
      <c r="E652" s="157"/>
      <c r="F652" s="157"/>
      <c r="G652" s="359"/>
    </row>
    <row r="653" spans="2:7">
      <c r="B653" s="19">
        <v>10</v>
      </c>
      <c r="C653" s="361"/>
      <c r="D653" s="362"/>
      <c r="E653" s="157"/>
      <c r="F653" s="157"/>
      <c r="G653" s="359"/>
    </row>
    <row r="654" spans="2:7">
      <c r="B654" s="19">
        <v>11</v>
      </c>
      <c r="C654" s="361"/>
      <c r="D654" s="362"/>
      <c r="E654" s="157"/>
      <c r="F654" s="157"/>
      <c r="G654" s="359"/>
    </row>
    <row r="655" spans="2:7">
      <c r="B655" s="19">
        <v>12</v>
      </c>
      <c r="C655" s="361"/>
      <c r="D655" s="362"/>
      <c r="E655" s="157"/>
      <c r="F655" s="157"/>
      <c r="G655" s="359"/>
    </row>
    <row r="656" spans="2:7">
      <c r="B656" s="19">
        <v>13</v>
      </c>
      <c r="C656" s="361"/>
      <c r="D656" s="362"/>
      <c r="E656" s="157"/>
      <c r="F656" s="157"/>
      <c r="G656" s="359"/>
    </row>
    <row r="657" spans="2:7">
      <c r="B657" s="19">
        <v>14</v>
      </c>
      <c r="C657" s="361"/>
      <c r="D657" s="362"/>
      <c r="E657" s="157"/>
      <c r="F657" s="157"/>
      <c r="G657" s="359"/>
    </row>
    <row r="658" spans="2:7">
      <c r="B658" s="18">
        <v>15</v>
      </c>
      <c r="C658" s="363"/>
      <c r="D658" s="364"/>
      <c r="E658" s="158"/>
      <c r="F658" s="158"/>
      <c r="G658" s="360"/>
    </row>
    <row r="660" spans="2:7">
      <c r="C660" s="356" t="s">
        <v>43</v>
      </c>
      <c r="D660" s="357"/>
      <c r="E660" s="15" t="s">
        <v>44</v>
      </c>
      <c r="F660" s="15" t="s">
        <v>45</v>
      </c>
      <c r="G660" s="16" t="s">
        <v>46</v>
      </c>
    </row>
    <row r="661" spans="2:7" ht="31">
      <c r="B661" s="19" t="s">
        <v>49</v>
      </c>
      <c r="C661" s="470" t="s">
        <v>1825</v>
      </c>
      <c r="D661" s="228"/>
      <c r="E661" s="226" t="e">
        <f>SUM(E662:E668)</f>
        <v>#DIV/0!</v>
      </c>
      <c r="F661" s="227" t="e">
        <f>SUM(F662:F668)</f>
        <v>#DIV/0!</v>
      </c>
      <c r="G661" s="358" t="s">
        <v>1793</v>
      </c>
    </row>
    <row r="662" spans="2:7" ht="34.5">
      <c r="B662" s="19">
        <v>1</v>
      </c>
      <c r="C662" s="215" t="s">
        <v>55</v>
      </c>
      <c r="D662" s="215" t="s">
        <v>55</v>
      </c>
      <c r="E662" s="288" t="e">
        <f>I662/$H$9</f>
        <v>#DIV/0!</v>
      </c>
      <c r="F662" s="288" t="e">
        <f>J662/$H$9</f>
        <v>#DIV/0!</v>
      </c>
      <c r="G662" s="359"/>
    </row>
    <row r="663" spans="2:7" ht="23">
      <c r="B663" s="19">
        <f>B662+1</f>
        <v>2</v>
      </c>
      <c r="C663" s="215" t="s">
        <v>1732</v>
      </c>
      <c r="D663" s="215" t="s">
        <v>1732</v>
      </c>
      <c r="E663" s="288" t="e">
        <f t="shared" ref="E663:E667" si="79">I663/$H$9</f>
        <v>#DIV/0!</v>
      </c>
      <c r="F663" s="288" t="e">
        <f t="shared" ref="F663:F667" si="80">J663/$H$9</f>
        <v>#DIV/0!</v>
      </c>
      <c r="G663" s="359"/>
    </row>
    <row r="664" spans="2:7" ht="23">
      <c r="B664" s="19">
        <f>B663+1</f>
        <v>3</v>
      </c>
      <c r="C664" s="220" t="s">
        <v>57</v>
      </c>
      <c r="D664" s="220" t="s">
        <v>57</v>
      </c>
      <c r="E664" s="288" t="e">
        <f t="shared" si="79"/>
        <v>#DIV/0!</v>
      </c>
      <c r="F664" s="288" t="e">
        <f t="shared" si="80"/>
        <v>#DIV/0!</v>
      </c>
      <c r="G664" s="359"/>
    </row>
    <row r="665" spans="2:7" ht="34.5">
      <c r="B665" s="19">
        <f>B663+1</f>
        <v>3</v>
      </c>
      <c r="C665" s="221" t="s">
        <v>62</v>
      </c>
      <c r="D665" s="221" t="s">
        <v>62</v>
      </c>
      <c r="E665" s="288" t="e">
        <f t="shared" si="79"/>
        <v>#DIV/0!</v>
      </c>
      <c r="F665" s="288" t="e">
        <f t="shared" si="80"/>
        <v>#DIV/0!</v>
      </c>
      <c r="G665" s="359"/>
    </row>
    <row r="666" spans="2:7">
      <c r="B666" s="19">
        <f>B664+1</f>
        <v>4</v>
      </c>
      <c r="C666" s="215" t="s">
        <v>64</v>
      </c>
      <c r="D666" s="215" t="s">
        <v>64</v>
      </c>
      <c r="E666" s="288" t="e">
        <f t="shared" si="79"/>
        <v>#DIV/0!</v>
      </c>
      <c r="F666" s="288" t="e">
        <f t="shared" si="80"/>
        <v>#DIV/0!</v>
      </c>
      <c r="G666" s="359"/>
    </row>
    <row r="667" spans="2:7" ht="34.5">
      <c r="B667" s="19">
        <f>B666+1</f>
        <v>5</v>
      </c>
      <c r="C667" s="215" t="s">
        <v>51</v>
      </c>
      <c r="D667" s="215" t="s">
        <v>51</v>
      </c>
      <c r="E667" s="288" t="e">
        <f t="shared" si="79"/>
        <v>#DIV/0!</v>
      </c>
      <c r="F667" s="288" t="e">
        <f t="shared" si="80"/>
        <v>#DIV/0!</v>
      </c>
      <c r="G667" s="359"/>
    </row>
    <row r="668" spans="2:7" ht="23">
      <c r="B668" s="19">
        <v>7</v>
      </c>
      <c r="C668" s="217" t="s">
        <v>65</v>
      </c>
      <c r="D668" s="217" t="s">
        <v>65</v>
      </c>
      <c r="E668" s="318"/>
      <c r="F668" s="319"/>
      <c r="G668" s="359"/>
    </row>
    <row r="669" spans="2:7" ht="34.5">
      <c r="B669" s="19">
        <v>8</v>
      </c>
      <c r="C669" s="217" t="s">
        <v>60</v>
      </c>
      <c r="D669" s="217" t="s">
        <v>60</v>
      </c>
      <c r="E669" s="157"/>
      <c r="F669" s="157"/>
      <c r="G669" s="359"/>
    </row>
    <row r="670" spans="2:7">
      <c r="B670" s="19">
        <v>9</v>
      </c>
      <c r="C670" s="361"/>
      <c r="D670" s="362"/>
      <c r="E670" s="157"/>
      <c r="F670" s="157"/>
      <c r="G670" s="359"/>
    </row>
    <row r="671" spans="2:7">
      <c r="B671" s="19">
        <v>10</v>
      </c>
      <c r="C671" s="361"/>
      <c r="D671" s="362"/>
      <c r="E671" s="157"/>
      <c r="F671" s="157"/>
      <c r="G671" s="359"/>
    </row>
    <row r="672" spans="2:7">
      <c r="B672" s="19">
        <v>11</v>
      </c>
      <c r="C672" s="361"/>
      <c r="D672" s="362"/>
      <c r="E672" s="157"/>
      <c r="F672" s="157"/>
      <c r="G672" s="359"/>
    </row>
    <row r="673" spans="2:7">
      <c r="B673" s="19">
        <v>12</v>
      </c>
      <c r="C673" s="361"/>
      <c r="D673" s="362"/>
      <c r="E673" s="157"/>
      <c r="F673" s="157"/>
      <c r="G673" s="359"/>
    </row>
    <row r="674" spans="2:7">
      <c r="B674" s="19">
        <v>13</v>
      </c>
      <c r="C674" s="361"/>
      <c r="D674" s="362"/>
      <c r="E674" s="157"/>
      <c r="F674" s="157"/>
      <c r="G674" s="359"/>
    </row>
    <row r="675" spans="2:7">
      <c r="B675" s="19">
        <v>14</v>
      </c>
      <c r="C675" s="361"/>
      <c r="D675" s="362"/>
      <c r="E675" s="157"/>
      <c r="F675" s="157"/>
      <c r="G675" s="359"/>
    </row>
    <row r="676" spans="2:7">
      <c r="B676" s="18">
        <v>15</v>
      </c>
      <c r="C676" s="363"/>
      <c r="D676" s="364"/>
      <c r="E676" s="158"/>
      <c r="F676" s="158"/>
      <c r="G676" s="360"/>
    </row>
    <row r="678" spans="2:7">
      <c r="C678" s="356" t="s">
        <v>43</v>
      </c>
      <c r="D678" s="357"/>
      <c r="E678" s="15" t="s">
        <v>44</v>
      </c>
      <c r="F678" s="15" t="s">
        <v>45</v>
      </c>
      <c r="G678" s="16" t="s">
        <v>46</v>
      </c>
    </row>
    <row r="679" spans="2:7" ht="29">
      <c r="B679" s="19" t="s">
        <v>49</v>
      </c>
      <c r="C679" s="473" t="s">
        <v>1826</v>
      </c>
      <c r="D679" s="474"/>
      <c r="E679" s="474"/>
      <c r="F679" s="227" t="e">
        <f>SUM(F680:F686)</f>
        <v>#DIV/0!</v>
      </c>
      <c r="G679" s="358" t="s">
        <v>1794</v>
      </c>
    </row>
    <row r="680" spans="2:7" ht="34.5">
      <c r="B680" s="19">
        <v>1</v>
      </c>
      <c r="C680" s="215" t="s">
        <v>55</v>
      </c>
      <c r="D680" s="215" t="s">
        <v>55</v>
      </c>
      <c r="E680" s="288" t="e">
        <f>I680/$H$9</f>
        <v>#DIV/0!</v>
      </c>
      <c r="F680" s="288" t="e">
        <f>J680/$H$9</f>
        <v>#DIV/0!</v>
      </c>
      <c r="G680" s="359"/>
    </row>
    <row r="681" spans="2:7" ht="23">
      <c r="B681" s="19">
        <f>B680+1</f>
        <v>2</v>
      </c>
      <c r="C681" s="215" t="s">
        <v>1732</v>
      </c>
      <c r="D681" s="215" t="s">
        <v>1732</v>
      </c>
      <c r="E681" s="288" t="e">
        <f t="shared" ref="E681:E685" si="81">I681/$H$9</f>
        <v>#DIV/0!</v>
      </c>
      <c r="F681" s="288" t="e">
        <f t="shared" ref="F681:F685" si="82">J681/$H$9</f>
        <v>#DIV/0!</v>
      </c>
      <c r="G681" s="359"/>
    </row>
    <row r="682" spans="2:7" ht="23">
      <c r="B682" s="19">
        <f>B681+1</f>
        <v>3</v>
      </c>
      <c r="C682" s="220" t="s">
        <v>57</v>
      </c>
      <c r="D682" s="220" t="s">
        <v>57</v>
      </c>
      <c r="E682" s="288" t="e">
        <f t="shared" si="81"/>
        <v>#DIV/0!</v>
      </c>
      <c r="F682" s="288" t="e">
        <f t="shared" si="82"/>
        <v>#DIV/0!</v>
      </c>
      <c r="G682" s="359"/>
    </row>
    <row r="683" spans="2:7" ht="34.5">
      <c r="B683" s="19">
        <f>B681+1</f>
        <v>3</v>
      </c>
      <c r="C683" s="221" t="s">
        <v>62</v>
      </c>
      <c r="D683" s="221" t="s">
        <v>62</v>
      </c>
      <c r="E683" s="288" t="e">
        <f t="shared" si="81"/>
        <v>#DIV/0!</v>
      </c>
      <c r="F683" s="288" t="e">
        <f t="shared" si="82"/>
        <v>#DIV/0!</v>
      </c>
      <c r="G683" s="359"/>
    </row>
    <row r="684" spans="2:7">
      <c r="B684" s="19">
        <f>B682+1</f>
        <v>4</v>
      </c>
      <c r="C684" s="215" t="s">
        <v>64</v>
      </c>
      <c r="D684" s="215" t="s">
        <v>64</v>
      </c>
      <c r="E684" s="288" t="e">
        <f t="shared" si="81"/>
        <v>#DIV/0!</v>
      </c>
      <c r="F684" s="288" t="e">
        <f t="shared" si="82"/>
        <v>#DIV/0!</v>
      </c>
      <c r="G684" s="359"/>
    </row>
    <row r="685" spans="2:7" ht="34.5">
      <c r="B685" s="19">
        <f>B684+1</f>
        <v>5</v>
      </c>
      <c r="C685" s="215" t="s">
        <v>51</v>
      </c>
      <c r="D685" s="215" t="s">
        <v>51</v>
      </c>
      <c r="E685" s="288" t="e">
        <f t="shared" si="81"/>
        <v>#DIV/0!</v>
      </c>
      <c r="F685" s="288" t="e">
        <f t="shared" si="82"/>
        <v>#DIV/0!</v>
      </c>
      <c r="G685" s="359"/>
    </row>
    <row r="686" spans="2:7" ht="23">
      <c r="B686" s="19">
        <v>7</v>
      </c>
      <c r="C686" s="217" t="s">
        <v>65</v>
      </c>
      <c r="D686" s="217" t="s">
        <v>65</v>
      </c>
      <c r="E686" s="318"/>
      <c r="F686" s="319"/>
      <c r="G686" s="359"/>
    </row>
    <row r="687" spans="2:7" ht="34.5">
      <c r="B687" s="19">
        <v>8</v>
      </c>
      <c r="C687" s="217" t="s">
        <v>60</v>
      </c>
      <c r="D687" s="217" t="s">
        <v>60</v>
      </c>
      <c r="E687" s="157"/>
      <c r="F687" s="157"/>
      <c r="G687" s="359"/>
    </row>
    <row r="688" spans="2:7">
      <c r="B688" s="19">
        <v>9</v>
      </c>
      <c r="C688" s="361"/>
      <c r="D688" s="362"/>
      <c r="E688" s="157"/>
      <c r="F688" s="157"/>
      <c r="G688" s="359"/>
    </row>
    <row r="689" spans="2:7">
      <c r="B689" s="19">
        <v>10</v>
      </c>
      <c r="C689" s="361"/>
      <c r="D689" s="362"/>
      <c r="E689" s="157"/>
      <c r="F689" s="157"/>
      <c r="G689" s="359"/>
    </row>
    <row r="690" spans="2:7">
      <c r="B690" s="19">
        <v>11</v>
      </c>
      <c r="C690" s="361"/>
      <c r="D690" s="362"/>
      <c r="E690" s="157"/>
      <c r="F690" s="157"/>
      <c r="G690" s="359"/>
    </row>
    <row r="691" spans="2:7">
      <c r="B691" s="19">
        <v>12</v>
      </c>
      <c r="C691" s="361"/>
      <c r="D691" s="362"/>
      <c r="E691" s="157"/>
      <c r="F691" s="157"/>
      <c r="G691" s="359"/>
    </row>
    <row r="692" spans="2:7">
      <c r="B692" s="19">
        <v>13</v>
      </c>
      <c r="C692" s="361"/>
      <c r="D692" s="362"/>
      <c r="E692" s="157"/>
      <c r="F692" s="157"/>
      <c r="G692" s="359"/>
    </row>
    <row r="693" spans="2:7">
      <c r="B693" s="19">
        <v>14</v>
      </c>
      <c r="C693" s="361"/>
      <c r="D693" s="362"/>
      <c r="E693" s="157"/>
      <c r="F693" s="157"/>
      <c r="G693" s="359"/>
    </row>
    <row r="694" spans="2:7">
      <c r="B694" s="18">
        <v>15</v>
      </c>
      <c r="C694" s="363"/>
      <c r="D694" s="364"/>
      <c r="E694" s="158"/>
      <c r="F694" s="158"/>
      <c r="G694" s="360"/>
    </row>
    <row r="696" spans="2:7">
      <c r="C696" s="356" t="s">
        <v>43</v>
      </c>
      <c r="D696" s="357"/>
      <c r="E696" s="15" t="s">
        <v>44</v>
      </c>
      <c r="F696" s="15" t="s">
        <v>45</v>
      </c>
      <c r="G696" s="16" t="s">
        <v>46</v>
      </c>
    </row>
    <row r="697" spans="2:7" ht="31" customHeight="1">
      <c r="B697" s="19" t="s">
        <v>49</v>
      </c>
      <c r="C697" s="441" t="s">
        <v>1765</v>
      </c>
      <c r="D697" s="228"/>
      <c r="E697" s="226" t="e">
        <f>SUM(E698:E704)</f>
        <v>#DIV/0!</v>
      </c>
      <c r="F697" s="227" t="e">
        <f>SUM(F698:F704)</f>
        <v>#DIV/0!</v>
      </c>
      <c r="G697" s="358" t="s">
        <v>1795</v>
      </c>
    </row>
    <row r="698" spans="2:7" ht="34.5">
      <c r="B698" s="19">
        <v>1</v>
      </c>
      <c r="C698" s="215" t="s">
        <v>55</v>
      </c>
      <c r="D698" s="215" t="s">
        <v>55</v>
      </c>
      <c r="E698" s="288" t="e">
        <f>I698/$H$9</f>
        <v>#DIV/0!</v>
      </c>
      <c r="F698" s="288" t="e">
        <f>J698/$H$9</f>
        <v>#DIV/0!</v>
      </c>
      <c r="G698" s="359"/>
    </row>
    <row r="699" spans="2:7" ht="23">
      <c r="B699" s="19">
        <f>B698+1</f>
        <v>2</v>
      </c>
      <c r="C699" s="215" t="s">
        <v>1732</v>
      </c>
      <c r="D699" s="215" t="s">
        <v>1732</v>
      </c>
      <c r="E699" s="288" t="e">
        <f t="shared" ref="E699:E703" si="83">I699/$H$9</f>
        <v>#DIV/0!</v>
      </c>
      <c r="F699" s="288" t="e">
        <f t="shared" ref="F699:F703" si="84">J699/$H$9</f>
        <v>#DIV/0!</v>
      </c>
      <c r="G699" s="359"/>
    </row>
    <row r="700" spans="2:7" ht="23">
      <c r="B700" s="19">
        <f>B699+1</f>
        <v>3</v>
      </c>
      <c r="C700" s="220" t="s">
        <v>57</v>
      </c>
      <c r="D700" s="220" t="s">
        <v>57</v>
      </c>
      <c r="E700" s="288" t="e">
        <f t="shared" si="83"/>
        <v>#DIV/0!</v>
      </c>
      <c r="F700" s="288" t="e">
        <f t="shared" si="84"/>
        <v>#DIV/0!</v>
      </c>
      <c r="G700" s="359"/>
    </row>
    <row r="701" spans="2:7" ht="34.5">
      <c r="B701" s="19">
        <f>B699+1</f>
        <v>3</v>
      </c>
      <c r="C701" s="221" t="s">
        <v>62</v>
      </c>
      <c r="D701" s="221" t="s">
        <v>62</v>
      </c>
      <c r="E701" s="288" t="e">
        <f t="shared" si="83"/>
        <v>#DIV/0!</v>
      </c>
      <c r="F701" s="288" t="e">
        <f t="shared" si="84"/>
        <v>#DIV/0!</v>
      </c>
      <c r="G701" s="359"/>
    </row>
    <row r="702" spans="2:7">
      <c r="B702" s="19">
        <f>B700+1</f>
        <v>4</v>
      </c>
      <c r="C702" s="215" t="s">
        <v>64</v>
      </c>
      <c r="D702" s="215" t="s">
        <v>64</v>
      </c>
      <c r="E702" s="288" t="e">
        <f t="shared" si="83"/>
        <v>#DIV/0!</v>
      </c>
      <c r="F702" s="288" t="e">
        <f t="shared" si="84"/>
        <v>#DIV/0!</v>
      </c>
      <c r="G702" s="359"/>
    </row>
    <row r="703" spans="2:7" ht="34.5">
      <c r="B703" s="19">
        <f>B702+1</f>
        <v>5</v>
      </c>
      <c r="C703" s="215" t="s">
        <v>51</v>
      </c>
      <c r="D703" s="215" t="s">
        <v>51</v>
      </c>
      <c r="E703" s="288" t="e">
        <f t="shared" si="83"/>
        <v>#DIV/0!</v>
      </c>
      <c r="F703" s="288" t="e">
        <f t="shared" si="84"/>
        <v>#DIV/0!</v>
      </c>
      <c r="G703" s="359"/>
    </row>
    <row r="704" spans="2:7" ht="23">
      <c r="B704" s="19">
        <v>7</v>
      </c>
      <c r="C704" s="217" t="s">
        <v>65</v>
      </c>
      <c r="D704" s="217" t="s">
        <v>65</v>
      </c>
      <c r="E704" s="318"/>
      <c r="F704" s="319"/>
      <c r="G704" s="359"/>
    </row>
    <row r="705" spans="2:7" ht="34.5">
      <c r="B705" s="19">
        <v>8</v>
      </c>
      <c r="C705" s="217" t="s">
        <v>60</v>
      </c>
      <c r="D705" s="217" t="s">
        <v>60</v>
      </c>
      <c r="E705" s="157"/>
      <c r="F705" s="157"/>
      <c r="G705" s="359"/>
    </row>
    <row r="706" spans="2:7">
      <c r="B706" s="19">
        <v>9</v>
      </c>
      <c r="C706" s="361"/>
      <c r="D706" s="362"/>
      <c r="E706" s="157"/>
      <c r="F706" s="157"/>
      <c r="G706" s="359"/>
    </row>
    <row r="707" spans="2:7">
      <c r="B707" s="19">
        <v>10</v>
      </c>
      <c r="C707" s="361"/>
      <c r="D707" s="362"/>
      <c r="E707" s="157"/>
      <c r="F707" s="157"/>
      <c r="G707" s="359"/>
    </row>
    <row r="708" spans="2:7">
      <c r="B708" s="19">
        <v>11</v>
      </c>
      <c r="C708" s="361"/>
      <c r="D708" s="362"/>
      <c r="E708" s="157"/>
      <c r="F708" s="157"/>
      <c r="G708" s="359"/>
    </row>
    <row r="709" spans="2:7">
      <c r="B709" s="19">
        <v>12</v>
      </c>
      <c r="C709" s="361"/>
      <c r="D709" s="362"/>
      <c r="E709" s="157"/>
      <c r="F709" s="157"/>
      <c r="G709" s="359"/>
    </row>
    <row r="710" spans="2:7">
      <c r="B710" s="19">
        <v>13</v>
      </c>
      <c r="C710" s="361"/>
      <c r="D710" s="362"/>
      <c r="E710" s="157"/>
      <c r="F710" s="157"/>
      <c r="G710" s="359"/>
    </row>
    <row r="711" spans="2:7">
      <c r="B711" s="19">
        <v>14</v>
      </c>
      <c r="C711" s="361"/>
      <c r="D711" s="362"/>
      <c r="E711" s="157"/>
      <c r="F711" s="157"/>
      <c r="G711" s="359"/>
    </row>
    <row r="712" spans="2:7">
      <c r="B712" s="18">
        <v>15</v>
      </c>
      <c r="C712" s="363"/>
      <c r="D712" s="364"/>
      <c r="E712" s="158"/>
      <c r="F712" s="158"/>
      <c r="G712" s="360"/>
    </row>
    <row r="713" spans="2:7">
      <c r="B713" s="421"/>
      <c r="C713" s="421"/>
      <c r="D713" s="421"/>
      <c r="E713" s="429"/>
      <c r="F713" s="429"/>
      <c r="G713" s="430"/>
    </row>
    <row r="714" spans="2:7">
      <c r="C714" s="356" t="s">
        <v>43</v>
      </c>
      <c r="D714" s="357"/>
      <c r="E714" s="15" t="s">
        <v>44</v>
      </c>
      <c r="F714" s="15" t="s">
        <v>45</v>
      </c>
      <c r="G714" s="16" t="s">
        <v>46</v>
      </c>
    </row>
    <row r="715" spans="2:7">
      <c r="B715" s="19" t="s">
        <v>49</v>
      </c>
      <c r="C715" s="442" t="s">
        <v>1796</v>
      </c>
      <c r="D715" s="228"/>
      <c r="E715" s="226" t="e">
        <f>SUM(E716:E722)</f>
        <v>#DIV/0!</v>
      </c>
      <c r="F715" s="227" t="e">
        <f>SUM(F716:F722)</f>
        <v>#DIV/0!</v>
      </c>
      <c r="G715" s="358" t="s">
        <v>1795</v>
      </c>
    </row>
    <row r="716" spans="2:7" ht="34.5">
      <c r="B716" s="19">
        <v>1</v>
      </c>
      <c r="C716" s="215" t="s">
        <v>55</v>
      </c>
      <c r="D716" s="215" t="s">
        <v>55</v>
      </c>
      <c r="E716" s="288" t="e">
        <f>I716/$H$9</f>
        <v>#DIV/0!</v>
      </c>
      <c r="F716" s="288" t="e">
        <f>J716/$H$9</f>
        <v>#DIV/0!</v>
      </c>
      <c r="G716" s="359"/>
    </row>
    <row r="717" spans="2:7" ht="23">
      <c r="B717" s="19">
        <f>B716+1</f>
        <v>2</v>
      </c>
      <c r="C717" s="215" t="s">
        <v>1732</v>
      </c>
      <c r="D717" s="215" t="s">
        <v>1732</v>
      </c>
      <c r="E717" s="288" t="e">
        <f t="shared" ref="E717:E721" si="85">I717/$H$9</f>
        <v>#DIV/0!</v>
      </c>
      <c r="F717" s="288" t="e">
        <f t="shared" ref="F717:F721" si="86">J717/$H$9</f>
        <v>#DIV/0!</v>
      </c>
      <c r="G717" s="359"/>
    </row>
    <row r="718" spans="2:7" ht="23">
      <c r="B718" s="19">
        <f>B717+1</f>
        <v>3</v>
      </c>
      <c r="C718" s="220" t="s">
        <v>57</v>
      </c>
      <c r="D718" s="220" t="s">
        <v>57</v>
      </c>
      <c r="E718" s="288" t="e">
        <f t="shared" si="85"/>
        <v>#DIV/0!</v>
      </c>
      <c r="F718" s="288" t="e">
        <f t="shared" si="86"/>
        <v>#DIV/0!</v>
      </c>
      <c r="G718" s="359"/>
    </row>
    <row r="719" spans="2:7" ht="34.5">
      <c r="B719" s="19">
        <f>B717+1</f>
        <v>3</v>
      </c>
      <c r="C719" s="221" t="s">
        <v>62</v>
      </c>
      <c r="D719" s="221" t="s">
        <v>62</v>
      </c>
      <c r="E719" s="288" t="e">
        <f t="shared" si="85"/>
        <v>#DIV/0!</v>
      </c>
      <c r="F719" s="288" t="e">
        <f t="shared" si="86"/>
        <v>#DIV/0!</v>
      </c>
      <c r="G719" s="359"/>
    </row>
    <row r="720" spans="2:7">
      <c r="B720" s="19">
        <f>B718+1</f>
        <v>4</v>
      </c>
      <c r="C720" s="215" t="s">
        <v>64</v>
      </c>
      <c r="D720" s="215" t="s">
        <v>64</v>
      </c>
      <c r="E720" s="288" t="e">
        <f t="shared" si="85"/>
        <v>#DIV/0!</v>
      </c>
      <c r="F720" s="288" t="e">
        <f t="shared" si="86"/>
        <v>#DIV/0!</v>
      </c>
      <c r="G720" s="359"/>
    </row>
    <row r="721" spans="2:7" ht="34.5">
      <c r="B721" s="19">
        <f>B720+1</f>
        <v>5</v>
      </c>
      <c r="C721" s="215" t="s">
        <v>51</v>
      </c>
      <c r="D721" s="215" t="s">
        <v>51</v>
      </c>
      <c r="E721" s="288" t="e">
        <f t="shared" si="85"/>
        <v>#DIV/0!</v>
      </c>
      <c r="F721" s="288" t="e">
        <f t="shared" si="86"/>
        <v>#DIV/0!</v>
      </c>
      <c r="G721" s="359"/>
    </row>
    <row r="722" spans="2:7" ht="23">
      <c r="B722" s="19">
        <v>7</v>
      </c>
      <c r="C722" s="217" t="s">
        <v>65</v>
      </c>
      <c r="D722" s="217" t="s">
        <v>65</v>
      </c>
      <c r="E722" s="318"/>
      <c r="F722" s="319"/>
      <c r="G722" s="359"/>
    </row>
    <row r="723" spans="2:7" ht="34.5">
      <c r="B723" s="19">
        <v>8</v>
      </c>
      <c r="C723" s="217" t="s">
        <v>60</v>
      </c>
      <c r="D723" s="217" t="s">
        <v>60</v>
      </c>
      <c r="E723" s="157"/>
      <c r="F723" s="157"/>
      <c r="G723" s="359"/>
    </row>
    <row r="724" spans="2:7">
      <c r="B724" s="19">
        <v>9</v>
      </c>
      <c r="C724" s="361"/>
      <c r="D724" s="362"/>
      <c r="E724" s="157"/>
      <c r="F724" s="157"/>
      <c r="G724" s="359"/>
    </row>
    <row r="725" spans="2:7">
      <c r="B725" s="19">
        <v>10</v>
      </c>
      <c r="C725" s="361"/>
      <c r="D725" s="362"/>
      <c r="E725" s="157"/>
      <c r="F725" s="157"/>
      <c r="G725" s="359"/>
    </row>
    <row r="726" spans="2:7">
      <c r="B726" s="19">
        <v>11</v>
      </c>
      <c r="C726" s="361"/>
      <c r="D726" s="362"/>
      <c r="E726" s="157"/>
      <c r="F726" s="157"/>
      <c r="G726" s="359"/>
    </row>
    <row r="727" spans="2:7">
      <c r="B727" s="19">
        <v>12</v>
      </c>
      <c r="C727" s="361"/>
      <c r="D727" s="362"/>
      <c r="E727" s="157"/>
      <c r="F727" s="157"/>
      <c r="G727" s="359"/>
    </row>
    <row r="728" spans="2:7">
      <c r="B728" s="19">
        <v>13</v>
      </c>
      <c r="C728" s="361"/>
      <c r="D728" s="362"/>
      <c r="E728" s="157"/>
      <c r="F728" s="157"/>
      <c r="G728" s="359"/>
    </row>
    <row r="729" spans="2:7">
      <c r="B729" s="19">
        <v>14</v>
      </c>
      <c r="C729" s="361"/>
      <c r="D729" s="362"/>
      <c r="E729" s="157"/>
      <c r="F729" s="157"/>
      <c r="G729" s="359"/>
    </row>
    <row r="730" spans="2:7">
      <c r="B730" s="18">
        <v>15</v>
      </c>
      <c r="C730" s="363"/>
      <c r="D730" s="364"/>
      <c r="E730" s="158"/>
      <c r="F730" s="158"/>
      <c r="G730" s="360"/>
    </row>
    <row r="731" spans="2:7">
      <c r="B731" s="421"/>
      <c r="C731" s="421"/>
      <c r="D731" s="422"/>
      <c r="E731" s="423"/>
      <c r="F731" s="423"/>
      <c r="G731" s="354"/>
    </row>
    <row r="732" spans="2:7">
      <c r="C732" s="356" t="s">
        <v>43</v>
      </c>
      <c r="D732" s="357"/>
      <c r="E732" s="15" t="s">
        <v>44</v>
      </c>
      <c r="F732" s="15" t="s">
        <v>45</v>
      </c>
      <c r="G732" s="16" t="s">
        <v>46</v>
      </c>
    </row>
    <row r="733" spans="2:7" ht="29">
      <c r="B733" s="19" t="s">
        <v>49</v>
      </c>
      <c r="C733" s="440" t="s">
        <v>1797</v>
      </c>
      <c r="D733" s="228"/>
      <c r="E733" s="226" t="e">
        <f>SUM(E734:E740)</f>
        <v>#DIV/0!</v>
      </c>
      <c r="F733" s="227" t="e">
        <f>SUM(F734:F740)</f>
        <v>#DIV/0!</v>
      </c>
      <c r="G733" s="358" t="s">
        <v>1798</v>
      </c>
    </row>
    <row r="734" spans="2:7" ht="34.5">
      <c r="B734" s="19">
        <v>1</v>
      </c>
      <c r="C734" s="215" t="s">
        <v>55</v>
      </c>
      <c r="D734" s="215" t="s">
        <v>55</v>
      </c>
      <c r="E734" s="288" t="e">
        <f>I734/$H$9</f>
        <v>#DIV/0!</v>
      </c>
      <c r="F734" s="288" t="e">
        <f>J734/$H$9</f>
        <v>#DIV/0!</v>
      </c>
      <c r="G734" s="359"/>
    </row>
    <row r="735" spans="2:7" ht="23">
      <c r="B735" s="19">
        <f>B734+1</f>
        <v>2</v>
      </c>
      <c r="C735" s="215" t="s">
        <v>1732</v>
      </c>
      <c r="D735" s="215" t="s">
        <v>1732</v>
      </c>
      <c r="E735" s="288" t="e">
        <f t="shared" ref="E735:E739" si="87">I735/$H$9</f>
        <v>#DIV/0!</v>
      </c>
      <c r="F735" s="288" t="e">
        <f t="shared" ref="F735:F739" si="88">J735/$H$9</f>
        <v>#DIV/0!</v>
      </c>
      <c r="G735" s="359"/>
    </row>
    <row r="736" spans="2:7" ht="23">
      <c r="B736" s="19">
        <f>B735+1</f>
        <v>3</v>
      </c>
      <c r="C736" s="220" t="s">
        <v>57</v>
      </c>
      <c r="D736" s="220" t="s">
        <v>57</v>
      </c>
      <c r="E736" s="288" t="e">
        <f t="shared" si="87"/>
        <v>#DIV/0!</v>
      </c>
      <c r="F736" s="288" t="e">
        <f t="shared" si="88"/>
        <v>#DIV/0!</v>
      </c>
      <c r="G736" s="359"/>
    </row>
    <row r="737" spans="2:7" ht="34.5">
      <c r="B737" s="19">
        <f>B735+1</f>
        <v>3</v>
      </c>
      <c r="C737" s="221" t="s">
        <v>62</v>
      </c>
      <c r="D737" s="221" t="s">
        <v>62</v>
      </c>
      <c r="E737" s="288" t="e">
        <f t="shared" si="87"/>
        <v>#DIV/0!</v>
      </c>
      <c r="F737" s="288" t="e">
        <f t="shared" si="88"/>
        <v>#DIV/0!</v>
      </c>
      <c r="G737" s="359"/>
    </row>
    <row r="738" spans="2:7">
      <c r="B738" s="19">
        <f>B736+1</f>
        <v>4</v>
      </c>
      <c r="C738" s="215" t="s">
        <v>64</v>
      </c>
      <c r="D738" s="215" t="s">
        <v>64</v>
      </c>
      <c r="E738" s="288" t="e">
        <f t="shared" si="87"/>
        <v>#DIV/0!</v>
      </c>
      <c r="F738" s="288" t="e">
        <f t="shared" si="88"/>
        <v>#DIV/0!</v>
      </c>
      <c r="G738" s="359"/>
    </row>
    <row r="739" spans="2:7" ht="34.5">
      <c r="B739" s="19">
        <f>B738+1</f>
        <v>5</v>
      </c>
      <c r="C739" s="215" t="s">
        <v>51</v>
      </c>
      <c r="D739" s="215" t="s">
        <v>51</v>
      </c>
      <c r="E739" s="288" t="e">
        <f t="shared" si="87"/>
        <v>#DIV/0!</v>
      </c>
      <c r="F739" s="288" t="e">
        <f t="shared" si="88"/>
        <v>#DIV/0!</v>
      </c>
      <c r="G739" s="359"/>
    </row>
    <row r="740" spans="2:7" ht="23">
      <c r="B740" s="19">
        <v>7</v>
      </c>
      <c r="C740" s="217" t="s">
        <v>65</v>
      </c>
      <c r="D740" s="217" t="s">
        <v>65</v>
      </c>
      <c r="E740" s="318"/>
      <c r="F740" s="319"/>
      <c r="G740" s="359"/>
    </row>
    <row r="741" spans="2:7" ht="34.5">
      <c r="B741" s="19">
        <v>8</v>
      </c>
      <c r="C741" s="217" t="s">
        <v>60</v>
      </c>
      <c r="D741" s="217" t="s">
        <v>60</v>
      </c>
      <c r="E741" s="157"/>
      <c r="F741" s="157"/>
      <c r="G741" s="359"/>
    </row>
    <row r="742" spans="2:7">
      <c r="B742" s="19">
        <v>9</v>
      </c>
      <c r="C742" s="361"/>
      <c r="D742" s="362"/>
      <c r="E742" s="157"/>
      <c r="F742" s="157"/>
      <c r="G742" s="359"/>
    </row>
    <row r="743" spans="2:7">
      <c r="B743" s="19">
        <v>10</v>
      </c>
      <c r="C743" s="361"/>
      <c r="D743" s="362"/>
      <c r="E743" s="157"/>
      <c r="F743" s="157"/>
      <c r="G743" s="359"/>
    </row>
    <row r="744" spans="2:7">
      <c r="B744" s="19">
        <v>11</v>
      </c>
      <c r="C744" s="361"/>
      <c r="D744" s="362"/>
      <c r="E744" s="157"/>
      <c r="F744" s="157"/>
      <c r="G744" s="359"/>
    </row>
    <row r="745" spans="2:7">
      <c r="B745" s="19">
        <v>12</v>
      </c>
      <c r="C745" s="361"/>
      <c r="D745" s="362"/>
      <c r="E745" s="157"/>
      <c r="F745" s="157"/>
      <c r="G745" s="359"/>
    </row>
    <row r="746" spans="2:7">
      <c r="B746" s="19">
        <v>13</v>
      </c>
      <c r="C746" s="361"/>
      <c r="D746" s="362"/>
      <c r="E746" s="157"/>
      <c r="F746" s="157"/>
      <c r="G746" s="359"/>
    </row>
    <row r="747" spans="2:7">
      <c r="B747" s="19">
        <v>14</v>
      </c>
      <c r="C747" s="361"/>
      <c r="D747" s="362"/>
      <c r="E747" s="157"/>
      <c r="F747" s="157"/>
      <c r="G747" s="359"/>
    </row>
    <row r="748" spans="2:7">
      <c r="B748" s="18">
        <v>15</v>
      </c>
      <c r="C748" s="363"/>
      <c r="D748" s="364"/>
      <c r="E748" s="158"/>
      <c r="F748" s="158"/>
      <c r="G748" s="360"/>
    </row>
    <row r="750" spans="2:7">
      <c r="C750" s="356" t="s">
        <v>43</v>
      </c>
      <c r="D750" s="357"/>
      <c r="E750" s="15" t="s">
        <v>44</v>
      </c>
      <c r="F750" s="15" t="s">
        <v>45</v>
      </c>
      <c r="G750" s="16" t="s">
        <v>46</v>
      </c>
    </row>
    <row r="751" spans="2:7">
      <c r="B751" s="19" t="s">
        <v>49</v>
      </c>
      <c r="C751" t="s">
        <v>1766</v>
      </c>
      <c r="D751" s="228"/>
      <c r="E751" s="226" t="e">
        <f>SUM(E752:E758)</f>
        <v>#DIV/0!</v>
      </c>
      <c r="F751" s="227" t="e">
        <f>SUM(F752:F758)</f>
        <v>#DIV/0!</v>
      </c>
      <c r="G751" s="358" t="s">
        <v>1799</v>
      </c>
    </row>
    <row r="752" spans="2:7" ht="34.5">
      <c r="B752" s="19">
        <v>1</v>
      </c>
      <c r="C752" s="215" t="s">
        <v>55</v>
      </c>
      <c r="D752" s="215" t="s">
        <v>55</v>
      </c>
      <c r="E752" s="288" t="e">
        <f>I752/$H$9</f>
        <v>#DIV/0!</v>
      </c>
      <c r="F752" s="288" t="e">
        <f>J752/$H$9</f>
        <v>#DIV/0!</v>
      </c>
      <c r="G752" s="359"/>
    </row>
    <row r="753" spans="2:7" ht="23">
      <c r="B753" s="19">
        <f>B752+1</f>
        <v>2</v>
      </c>
      <c r="C753" s="215" t="s">
        <v>1732</v>
      </c>
      <c r="D753" s="215" t="s">
        <v>1732</v>
      </c>
      <c r="E753" s="288" t="e">
        <f t="shared" ref="E753:E757" si="89">I753/$H$9</f>
        <v>#DIV/0!</v>
      </c>
      <c r="F753" s="288" t="e">
        <f t="shared" ref="F753:F757" si="90">J753/$H$9</f>
        <v>#DIV/0!</v>
      </c>
      <c r="G753" s="359"/>
    </row>
    <row r="754" spans="2:7" ht="23">
      <c r="B754" s="19">
        <f>B753+1</f>
        <v>3</v>
      </c>
      <c r="C754" s="220" t="s">
        <v>57</v>
      </c>
      <c r="D754" s="220" t="s">
        <v>57</v>
      </c>
      <c r="E754" s="288" t="e">
        <f t="shared" si="89"/>
        <v>#DIV/0!</v>
      </c>
      <c r="F754" s="288" t="e">
        <f t="shared" si="90"/>
        <v>#DIV/0!</v>
      </c>
      <c r="G754" s="359"/>
    </row>
    <row r="755" spans="2:7" ht="34.5">
      <c r="B755" s="19">
        <f>B753+1</f>
        <v>3</v>
      </c>
      <c r="C755" s="221" t="s">
        <v>62</v>
      </c>
      <c r="D755" s="221" t="s">
        <v>62</v>
      </c>
      <c r="E755" s="288" t="e">
        <f t="shared" si="89"/>
        <v>#DIV/0!</v>
      </c>
      <c r="F755" s="288" t="e">
        <f t="shared" si="90"/>
        <v>#DIV/0!</v>
      </c>
      <c r="G755" s="359"/>
    </row>
    <row r="756" spans="2:7">
      <c r="B756" s="19">
        <f>B754+1</f>
        <v>4</v>
      </c>
      <c r="C756" s="215" t="s">
        <v>64</v>
      </c>
      <c r="D756" s="215" t="s">
        <v>64</v>
      </c>
      <c r="E756" s="288" t="e">
        <f t="shared" si="89"/>
        <v>#DIV/0!</v>
      </c>
      <c r="F756" s="288" t="e">
        <f t="shared" si="90"/>
        <v>#DIV/0!</v>
      </c>
      <c r="G756" s="359"/>
    </row>
    <row r="757" spans="2:7" ht="34.5">
      <c r="B757" s="19">
        <f>B756+1</f>
        <v>5</v>
      </c>
      <c r="C757" s="215" t="s">
        <v>51</v>
      </c>
      <c r="D757" s="215" t="s">
        <v>51</v>
      </c>
      <c r="E757" s="288" t="e">
        <f t="shared" si="89"/>
        <v>#DIV/0!</v>
      </c>
      <c r="F757" s="288" t="e">
        <f t="shared" si="90"/>
        <v>#DIV/0!</v>
      </c>
      <c r="G757" s="359"/>
    </row>
    <row r="758" spans="2:7" ht="23">
      <c r="B758" s="19">
        <v>7</v>
      </c>
      <c r="C758" s="217" t="s">
        <v>65</v>
      </c>
      <c r="D758" s="217" t="s">
        <v>65</v>
      </c>
      <c r="E758" s="318"/>
      <c r="F758" s="319"/>
      <c r="G758" s="359"/>
    </row>
    <row r="759" spans="2:7" ht="34.5">
      <c r="B759" s="19">
        <v>8</v>
      </c>
      <c r="C759" s="217" t="s">
        <v>60</v>
      </c>
      <c r="D759" s="217" t="s">
        <v>60</v>
      </c>
      <c r="E759" s="157"/>
      <c r="F759" s="157"/>
      <c r="G759" s="359"/>
    </row>
    <row r="760" spans="2:7">
      <c r="B760" s="19">
        <v>9</v>
      </c>
      <c r="C760" s="361"/>
      <c r="D760" s="362"/>
      <c r="E760" s="157"/>
      <c r="F760" s="157"/>
      <c r="G760" s="359"/>
    </row>
    <row r="761" spans="2:7">
      <c r="B761" s="19">
        <v>10</v>
      </c>
      <c r="C761" s="361"/>
      <c r="D761" s="362"/>
      <c r="E761" s="157"/>
      <c r="F761" s="157"/>
      <c r="G761" s="359"/>
    </row>
    <row r="762" spans="2:7">
      <c r="B762" s="19">
        <v>11</v>
      </c>
      <c r="C762" s="361"/>
      <c r="D762" s="362"/>
      <c r="E762" s="157"/>
      <c r="F762" s="157"/>
      <c r="G762" s="359"/>
    </row>
    <row r="763" spans="2:7">
      <c r="B763" s="19">
        <v>12</v>
      </c>
      <c r="C763" s="361"/>
      <c r="D763" s="362"/>
      <c r="E763" s="157"/>
      <c r="F763" s="157"/>
      <c r="G763" s="359"/>
    </row>
    <row r="764" spans="2:7">
      <c r="B764" s="19">
        <v>13</v>
      </c>
      <c r="C764" s="361"/>
      <c r="D764" s="362"/>
      <c r="E764" s="157"/>
      <c r="F764" s="157"/>
      <c r="G764" s="359"/>
    </row>
    <row r="765" spans="2:7">
      <c r="B765" s="19">
        <v>14</v>
      </c>
      <c r="C765" s="361"/>
      <c r="D765" s="362"/>
      <c r="E765" s="157"/>
      <c r="F765" s="157"/>
      <c r="G765" s="359"/>
    </row>
    <row r="766" spans="2:7">
      <c r="B766" s="18">
        <v>15</v>
      </c>
      <c r="C766" s="363"/>
      <c r="D766" s="364"/>
      <c r="E766" s="158"/>
      <c r="F766" s="158"/>
      <c r="G766" s="360"/>
    </row>
    <row r="768" spans="2:7">
      <c r="C768" s="356" t="s">
        <v>43</v>
      </c>
      <c r="D768" s="357"/>
      <c r="E768" s="15" t="s">
        <v>44</v>
      </c>
      <c r="F768" s="15" t="s">
        <v>45</v>
      </c>
      <c r="G768" s="16" t="s">
        <v>46</v>
      </c>
    </row>
    <row r="769" spans="2:7" ht="31">
      <c r="B769" s="19" t="s">
        <v>49</v>
      </c>
      <c r="C769" s="432" t="s">
        <v>1767</v>
      </c>
      <c r="D769" s="228"/>
      <c r="E769" s="226" t="e">
        <f>SUM(E770:E776)</f>
        <v>#DIV/0!</v>
      </c>
      <c r="F769" s="227" t="e">
        <f>SUM(F770:F776)</f>
        <v>#DIV/0!</v>
      </c>
      <c r="G769" s="358" t="s">
        <v>1800</v>
      </c>
    </row>
    <row r="770" spans="2:7" ht="34.5">
      <c r="B770" s="19">
        <v>1</v>
      </c>
      <c r="C770" s="215" t="s">
        <v>55</v>
      </c>
      <c r="D770" s="215" t="s">
        <v>55</v>
      </c>
      <c r="E770" s="288" t="e">
        <f>I770/$H$9</f>
        <v>#DIV/0!</v>
      </c>
      <c r="F770" s="288" t="e">
        <f>J770/$H$9</f>
        <v>#DIV/0!</v>
      </c>
      <c r="G770" s="359"/>
    </row>
    <row r="771" spans="2:7" ht="23">
      <c r="B771" s="19">
        <f>B770+1</f>
        <v>2</v>
      </c>
      <c r="C771" s="215" t="s">
        <v>1732</v>
      </c>
      <c r="D771" s="215" t="s">
        <v>1732</v>
      </c>
      <c r="E771" s="288" t="e">
        <f t="shared" ref="E771:E775" si="91">I771/$H$9</f>
        <v>#DIV/0!</v>
      </c>
      <c r="F771" s="288" t="e">
        <f t="shared" ref="F771:F775" si="92">J771/$H$9</f>
        <v>#DIV/0!</v>
      </c>
      <c r="G771" s="359"/>
    </row>
    <row r="772" spans="2:7" ht="23">
      <c r="B772" s="19">
        <f>B771+1</f>
        <v>3</v>
      </c>
      <c r="C772" s="220" t="s">
        <v>57</v>
      </c>
      <c r="D772" s="220" t="s">
        <v>57</v>
      </c>
      <c r="E772" s="288" t="e">
        <f t="shared" si="91"/>
        <v>#DIV/0!</v>
      </c>
      <c r="F772" s="288" t="e">
        <f t="shared" si="92"/>
        <v>#DIV/0!</v>
      </c>
      <c r="G772" s="359"/>
    </row>
    <row r="773" spans="2:7" ht="34.5">
      <c r="B773" s="19">
        <f>B771+1</f>
        <v>3</v>
      </c>
      <c r="C773" s="221" t="s">
        <v>62</v>
      </c>
      <c r="D773" s="221" t="s">
        <v>62</v>
      </c>
      <c r="E773" s="288" t="e">
        <f t="shared" si="91"/>
        <v>#DIV/0!</v>
      </c>
      <c r="F773" s="288" t="e">
        <f t="shared" si="92"/>
        <v>#DIV/0!</v>
      </c>
      <c r="G773" s="359"/>
    </row>
    <row r="774" spans="2:7">
      <c r="B774" s="19">
        <f>B772+1</f>
        <v>4</v>
      </c>
      <c r="C774" s="215" t="s">
        <v>64</v>
      </c>
      <c r="D774" s="215" t="s">
        <v>64</v>
      </c>
      <c r="E774" s="288" t="e">
        <f t="shared" si="91"/>
        <v>#DIV/0!</v>
      </c>
      <c r="F774" s="288" t="e">
        <f t="shared" si="92"/>
        <v>#DIV/0!</v>
      </c>
      <c r="G774" s="359"/>
    </row>
    <row r="775" spans="2:7" ht="34.5">
      <c r="B775" s="19">
        <f>B774+1</f>
        <v>5</v>
      </c>
      <c r="C775" s="215" t="s">
        <v>51</v>
      </c>
      <c r="D775" s="215" t="s">
        <v>51</v>
      </c>
      <c r="E775" s="288" t="e">
        <f t="shared" si="91"/>
        <v>#DIV/0!</v>
      </c>
      <c r="F775" s="288" t="e">
        <f t="shared" si="92"/>
        <v>#DIV/0!</v>
      </c>
      <c r="G775" s="359"/>
    </row>
    <row r="776" spans="2:7" ht="23">
      <c r="B776" s="19">
        <v>7</v>
      </c>
      <c r="C776" s="217" t="s">
        <v>65</v>
      </c>
      <c r="D776" s="217" t="s">
        <v>65</v>
      </c>
      <c r="E776" s="318"/>
      <c r="F776" s="319"/>
      <c r="G776" s="359"/>
    </row>
    <row r="777" spans="2:7" ht="34.5">
      <c r="B777" s="19">
        <v>8</v>
      </c>
      <c r="C777" s="217" t="s">
        <v>60</v>
      </c>
      <c r="D777" s="217" t="s">
        <v>60</v>
      </c>
      <c r="E777" s="157"/>
      <c r="F777" s="157"/>
      <c r="G777" s="359"/>
    </row>
    <row r="778" spans="2:7">
      <c r="B778" s="19">
        <v>9</v>
      </c>
      <c r="C778" s="361"/>
      <c r="D778" s="362"/>
      <c r="E778" s="157"/>
      <c r="F778" s="157"/>
      <c r="G778" s="359"/>
    </row>
    <row r="779" spans="2:7">
      <c r="B779" s="19">
        <v>10</v>
      </c>
      <c r="C779" s="361"/>
      <c r="D779" s="362"/>
      <c r="E779" s="157"/>
      <c r="F779" s="157"/>
      <c r="G779" s="359"/>
    </row>
    <row r="780" spans="2:7">
      <c r="B780" s="19">
        <v>11</v>
      </c>
      <c r="C780" s="361"/>
      <c r="D780" s="362"/>
      <c r="E780" s="157"/>
      <c r="F780" s="157"/>
      <c r="G780" s="359"/>
    </row>
    <row r="781" spans="2:7">
      <c r="B781" s="19">
        <v>12</v>
      </c>
      <c r="C781" s="361"/>
      <c r="D781" s="362"/>
      <c r="E781" s="157"/>
      <c r="F781" s="157"/>
      <c r="G781" s="359"/>
    </row>
    <row r="782" spans="2:7">
      <c r="B782" s="19">
        <v>13</v>
      </c>
      <c r="C782" s="361"/>
      <c r="D782" s="362"/>
      <c r="E782" s="157"/>
      <c r="F782" s="157"/>
      <c r="G782" s="359"/>
    </row>
    <row r="783" spans="2:7">
      <c r="B783" s="19">
        <v>14</v>
      </c>
      <c r="C783" s="361"/>
      <c r="D783" s="362"/>
      <c r="E783" s="157"/>
      <c r="F783" s="157"/>
      <c r="G783" s="359"/>
    </row>
    <row r="784" spans="2:7">
      <c r="B784" s="18">
        <v>15</v>
      </c>
      <c r="C784" s="363"/>
      <c r="D784" s="364"/>
      <c r="E784" s="158"/>
      <c r="F784" s="158"/>
      <c r="G784" s="360"/>
    </row>
    <row r="786" spans="2:7">
      <c r="C786" s="356" t="s">
        <v>43</v>
      </c>
      <c r="D786" s="357"/>
      <c r="E786" s="15" t="s">
        <v>44</v>
      </c>
      <c r="F786" s="15" t="s">
        <v>45</v>
      </c>
      <c r="G786" s="16" t="s">
        <v>46</v>
      </c>
    </row>
    <row r="787" spans="2:7" ht="31">
      <c r="B787" s="19" t="s">
        <v>49</v>
      </c>
      <c r="C787" s="443" t="s">
        <v>1768</v>
      </c>
      <c r="D787" s="228"/>
      <c r="E787" s="226" t="e">
        <f>SUM(E788:E794)</f>
        <v>#DIV/0!</v>
      </c>
      <c r="F787" s="227" t="e">
        <f>SUM(F788:F794)</f>
        <v>#DIV/0!</v>
      </c>
      <c r="G787" s="358" t="s">
        <v>1801</v>
      </c>
    </row>
    <row r="788" spans="2:7" ht="34.5">
      <c r="B788" s="19">
        <v>1</v>
      </c>
      <c r="C788" s="215" t="s">
        <v>55</v>
      </c>
      <c r="D788" s="215" t="s">
        <v>55</v>
      </c>
      <c r="E788" s="288" t="e">
        <f>I788/$H$9</f>
        <v>#DIV/0!</v>
      </c>
      <c r="F788" s="288" t="e">
        <f>J788/$H$9</f>
        <v>#DIV/0!</v>
      </c>
      <c r="G788" s="359"/>
    </row>
    <row r="789" spans="2:7" ht="23">
      <c r="B789" s="19">
        <f>B788+1</f>
        <v>2</v>
      </c>
      <c r="C789" s="215" t="s">
        <v>1732</v>
      </c>
      <c r="D789" s="215" t="s">
        <v>1732</v>
      </c>
      <c r="E789" s="288" t="e">
        <f t="shared" ref="E789:E793" si="93">I789/$H$9</f>
        <v>#DIV/0!</v>
      </c>
      <c r="F789" s="288" t="e">
        <f t="shared" ref="F789:F793" si="94">J789/$H$9</f>
        <v>#DIV/0!</v>
      </c>
      <c r="G789" s="359"/>
    </row>
    <row r="790" spans="2:7" ht="23">
      <c r="B790" s="19">
        <f>B789+1</f>
        <v>3</v>
      </c>
      <c r="C790" s="220" t="s">
        <v>57</v>
      </c>
      <c r="D790" s="220" t="s">
        <v>57</v>
      </c>
      <c r="E790" s="288" t="e">
        <f t="shared" si="93"/>
        <v>#DIV/0!</v>
      </c>
      <c r="F790" s="288" t="e">
        <f t="shared" si="94"/>
        <v>#DIV/0!</v>
      </c>
      <c r="G790" s="359"/>
    </row>
    <row r="791" spans="2:7" ht="34.5">
      <c r="B791" s="19">
        <f>B789+1</f>
        <v>3</v>
      </c>
      <c r="C791" s="221" t="s">
        <v>62</v>
      </c>
      <c r="D791" s="221" t="s">
        <v>62</v>
      </c>
      <c r="E791" s="288" t="e">
        <f t="shared" si="93"/>
        <v>#DIV/0!</v>
      </c>
      <c r="F791" s="288" t="e">
        <f t="shared" si="94"/>
        <v>#DIV/0!</v>
      </c>
      <c r="G791" s="359"/>
    </row>
    <row r="792" spans="2:7">
      <c r="B792" s="19">
        <f>B790+1</f>
        <v>4</v>
      </c>
      <c r="C792" s="215" t="s">
        <v>64</v>
      </c>
      <c r="D792" s="215" t="s">
        <v>64</v>
      </c>
      <c r="E792" s="288" t="e">
        <f t="shared" si="93"/>
        <v>#DIV/0!</v>
      </c>
      <c r="F792" s="288" t="e">
        <f t="shared" si="94"/>
        <v>#DIV/0!</v>
      </c>
      <c r="G792" s="359"/>
    </row>
    <row r="793" spans="2:7" ht="34.5">
      <c r="B793" s="19">
        <f>B792+1</f>
        <v>5</v>
      </c>
      <c r="C793" s="215" t="s">
        <v>51</v>
      </c>
      <c r="D793" s="215" t="s">
        <v>51</v>
      </c>
      <c r="E793" s="288" t="e">
        <f t="shared" si="93"/>
        <v>#DIV/0!</v>
      </c>
      <c r="F793" s="288" t="e">
        <f t="shared" si="94"/>
        <v>#DIV/0!</v>
      </c>
      <c r="G793" s="359"/>
    </row>
    <row r="794" spans="2:7" ht="23">
      <c r="B794" s="19">
        <v>7</v>
      </c>
      <c r="C794" s="217" t="s">
        <v>65</v>
      </c>
      <c r="D794" s="217" t="s">
        <v>65</v>
      </c>
      <c r="E794" s="318"/>
      <c r="F794" s="319"/>
      <c r="G794" s="359"/>
    </row>
    <row r="795" spans="2:7" ht="34.5">
      <c r="B795" s="19">
        <v>8</v>
      </c>
      <c r="C795" s="217" t="s">
        <v>60</v>
      </c>
      <c r="D795" s="217" t="s">
        <v>60</v>
      </c>
      <c r="E795" s="157"/>
      <c r="F795" s="157"/>
      <c r="G795" s="359"/>
    </row>
    <row r="796" spans="2:7">
      <c r="B796" s="19">
        <v>9</v>
      </c>
      <c r="C796" s="361"/>
      <c r="D796" s="362"/>
      <c r="E796" s="157"/>
      <c r="F796" s="157"/>
      <c r="G796" s="359"/>
    </row>
    <row r="797" spans="2:7">
      <c r="B797" s="19">
        <v>10</v>
      </c>
      <c r="C797" s="361"/>
      <c r="D797" s="362"/>
      <c r="E797" s="157"/>
      <c r="F797" s="157"/>
      <c r="G797" s="359"/>
    </row>
    <row r="798" spans="2:7">
      <c r="B798" s="19">
        <v>11</v>
      </c>
      <c r="C798" s="361"/>
      <c r="D798" s="362"/>
      <c r="E798" s="157"/>
      <c r="F798" s="157"/>
      <c r="G798" s="359"/>
    </row>
    <row r="799" spans="2:7">
      <c r="B799" s="19">
        <v>12</v>
      </c>
      <c r="C799" s="361"/>
      <c r="D799" s="362"/>
      <c r="E799" s="157"/>
      <c r="F799" s="157"/>
      <c r="G799" s="359"/>
    </row>
    <row r="800" spans="2:7">
      <c r="B800" s="19">
        <v>13</v>
      </c>
      <c r="C800" s="361"/>
      <c r="D800" s="362"/>
      <c r="E800" s="157"/>
      <c r="F800" s="157"/>
      <c r="G800" s="359"/>
    </row>
    <row r="801" spans="2:7">
      <c r="B801" s="19">
        <v>14</v>
      </c>
      <c r="C801" s="361"/>
      <c r="D801" s="362"/>
      <c r="E801" s="157"/>
      <c r="F801" s="157"/>
      <c r="G801" s="359"/>
    </row>
    <row r="802" spans="2:7">
      <c r="B802" s="18">
        <v>15</v>
      </c>
      <c r="C802" s="363"/>
      <c r="D802" s="364"/>
      <c r="E802" s="158"/>
      <c r="F802" s="158"/>
      <c r="G802" s="360"/>
    </row>
    <row r="804" spans="2:7">
      <c r="C804" s="356" t="s">
        <v>43</v>
      </c>
      <c r="D804" s="357"/>
      <c r="E804" s="15" t="s">
        <v>44</v>
      </c>
      <c r="F804" s="15" t="s">
        <v>45</v>
      </c>
      <c r="G804" s="16" t="s">
        <v>46</v>
      </c>
    </row>
    <row r="805" spans="2:7">
      <c r="B805" s="19" t="s">
        <v>49</v>
      </c>
      <c r="C805" s="5" t="s">
        <v>1769</v>
      </c>
      <c r="D805" s="228"/>
      <c r="E805" s="226" t="e">
        <f>SUM(E806:E812)</f>
        <v>#DIV/0!</v>
      </c>
      <c r="F805" s="227" t="e">
        <f>SUM(F806:F812)</f>
        <v>#DIV/0!</v>
      </c>
      <c r="G805" s="358" t="s">
        <v>1802</v>
      </c>
    </row>
    <row r="806" spans="2:7" ht="34.5">
      <c r="B806" s="19">
        <v>1</v>
      </c>
      <c r="C806" s="215" t="s">
        <v>55</v>
      </c>
      <c r="D806" s="215" t="s">
        <v>55</v>
      </c>
      <c r="E806" s="288" t="e">
        <f>I806/$H$9</f>
        <v>#DIV/0!</v>
      </c>
      <c r="F806" s="288" t="e">
        <f>J806/$H$9</f>
        <v>#DIV/0!</v>
      </c>
      <c r="G806" s="359"/>
    </row>
    <row r="807" spans="2:7" ht="23">
      <c r="B807" s="19">
        <f>B806+1</f>
        <v>2</v>
      </c>
      <c r="C807" s="215" t="s">
        <v>1732</v>
      </c>
      <c r="D807" s="215" t="s">
        <v>1732</v>
      </c>
      <c r="E807" s="288" t="e">
        <f t="shared" ref="E807:E811" si="95">I807/$H$9</f>
        <v>#DIV/0!</v>
      </c>
      <c r="F807" s="288" t="e">
        <f t="shared" ref="F807:F811" si="96">J807/$H$9</f>
        <v>#DIV/0!</v>
      </c>
      <c r="G807" s="359"/>
    </row>
    <row r="808" spans="2:7" ht="23">
      <c r="B808" s="19">
        <f>B807+1</f>
        <v>3</v>
      </c>
      <c r="C808" s="220" t="s">
        <v>57</v>
      </c>
      <c r="D808" s="220" t="s">
        <v>57</v>
      </c>
      <c r="E808" s="288" t="e">
        <f t="shared" si="95"/>
        <v>#DIV/0!</v>
      </c>
      <c r="F808" s="288" t="e">
        <f t="shared" si="96"/>
        <v>#DIV/0!</v>
      </c>
      <c r="G808" s="359"/>
    </row>
    <row r="809" spans="2:7" ht="34.5">
      <c r="B809" s="19">
        <f>B807+1</f>
        <v>3</v>
      </c>
      <c r="C809" s="221" t="s">
        <v>62</v>
      </c>
      <c r="D809" s="221" t="s">
        <v>62</v>
      </c>
      <c r="E809" s="288" t="e">
        <f t="shared" si="95"/>
        <v>#DIV/0!</v>
      </c>
      <c r="F809" s="288" t="e">
        <f t="shared" si="96"/>
        <v>#DIV/0!</v>
      </c>
      <c r="G809" s="359"/>
    </row>
    <row r="810" spans="2:7">
      <c r="B810" s="19">
        <f>B808+1</f>
        <v>4</v>
      </c>
      <c r="C810" s="215" t="s">
        <v>64</v>
      </c>
      <c r="D810" s="215" t="s">
        <v>64</v>
      </c>
      <c r="E810" s="288" t="e">
        <f t="shared" si="95"/>
        <v>#DIV/0!</v>
      </c>
      <c r="F810" s="288" t="e">
        <f t="shared" si="96"/>
        <v>#DIV/0!</v>
      </c>
      <c r="G810" s="359"/>
    </row>
    <row r="811" spans="2:7" ht="34.5">
      <c r="B811" s="19">
        <f>B810+1</f>
        <v>5</v>
      </c>
      <c r="C811" s="215" t="s">
        <v>51</v>
      </c>
      <c r="D811" s="215" t="s">
        <v>51</v>
      </c>
      <c r="E811" s="288" t="e">
        <f t="shared" si="95"/>
        <v>#DIV/0!</v>
      </c>
      <c r="F811" s="288" t="e">
        <f t="shared" si="96"/>
        <v>#DIV/0!</v>
      </c>
      <c r="G811" s="359"/>
    </row>
    <row r="812" spans="2:7" ht="23">
      <c r="B812" s="19">
        <v>7</v>
      </c>
      <c r="C812" s="217" t="s">
        <v>65</v>
      </c>
      <c r="D812" s="217" t="s">
        <v>65</v>
      </c>
      <c r="E812" s="318"/>
      <c r="F812" s="319"/>
      <c r="G812" s="359"/>
    </row>
    <row r="813" spans="2:7" ht="34.5">
      <c r="B813" s="19">
        <v>8</v>
      </c>
      <c r="C813" s="217" t="s">
        <v>60</v>
      </c>
      <c r="D813" s="217" t="s">
        <v>60</v>
      </c>
      <c r="E813" s="157"/>
      <c r="F813" s="157"/>
      <c r="G813" s="359"/>
    </row>
    <row r="814" spans="2:7">
      <c r="B814" s="19">
        <v>9</v>
      </c>
      <c r="C814" s="361"/>
      <c r="D814" s="362"/>
      <c r="E814" s="157"/>
      <c r="F814" s="157"/>
      <c r="G814" s="359"/>
    </row>
    <row r="815" spans="2:7">
      <c r="B815" s="19">
        <v>10</v>
      </c>
      <c r="C815" s="361"/>
      <c r="D815" s="362"/>
      <c r="E815" s="157"/>
      <c r="F815" s="157"/>
      <c r="G815" s="359"/>
    </row>
    <row r="816" spans="2:7">
      <c r="B816" s="19">
        <v>11</v>
      </c>
      <c r="C816" s="361"/>
      <c r="D816" s="362"/>
      <c r="E816" s="157"/>
      <c r="F816" s="157"/>
      <c r="G816" s="359"/>
    </row>
    <row r="817" spans="2:7">
      <c r="B817" s="19">
        <v>12</v>
      </c>
      <c r="C817" s="361"/>
      <c r="D817" s="362"/>
      <c r="E817" s="157"/>
      <c r="F817" s="157"/>
      <c r="G817" s="359"/>
    </row>
    <row r="818" spans="2:7">
      <c r="B818" s="19">
        <v>13</v>
      </c>
      <c r="C818" s="361"/>
      <c r="D818" s="362"/>
      <c r="E818" s="157"/>
      <c r="F818" s="157"/>
      <c r="G818" s="359"/>
    </row>
    <row r="819" spans="2:7">
      <c r="B819" s="19">
        <v>14</v>
      </c>
      <c r="C819" s="361"/>
      <c r="D819" s="362"/>
      <c r="E819" s="157"/>
      <c r="F819" s="157"/>
      <c r="G819" s="359"/>
    </row>
    <row r="820" spans="2:7">
      <c r="B820" s="18">
        <v>15</v>
      </c>
      <c r="C820" s="363"/>
      <c r="D820" s="364"/>
      <c r="E820" s="158"/>
      <c r="F820" s="158"/>
      <c r="G820" s="360"/>
    </row>
    <row r="822" spans="2:7">
      <c r="C822" s="356" t="s">
        <v>43</v>
      </c>
      <c r="D822" s="357"/>
      <c r="E822" s="15" t="s">
        <v>44</v>
      </c>
      <c r="F822" s="15" t="s">
        <v>45</v>
      </c>
      <c r="G822" s="16" t="s">
        <v>46</v>
      </c>
    </row>
    <row r="823" spans="2:7">
      <c r="B823" s="19" t="s">
        <v>49</v>
      </c>
      <c r="C823" s="269" t="s">
        <v>1770</v>
      </c>
      <c r="D823" s="228"/>
      <c r="E823" s="226" t="e">
        <f>SUM(E824:E830)</f>
        <v>#DIV/0!</v>
      </c>
      <c r="F823" s="227" t="e">
        <f>SUM(F824:F830)</f>
        <v>#DIV/0!</v>
      </c>
      <c r="G823" s="358" t="s">
        <v>1803</v>
      </c>
    </row>
    <row r="824" spans="2:7" ht="34.5">
      <c r="B824" s="19">
        <v>1</v>
      </c>
      <c r="C824" s="215" t="s">
        <v>55</v>
      </c>
      <c r="D824" s="215" t="s">
        <v>55</v>
      </c>
      <c r="E824" s="288" t="e">
        <f>I824/$H$9</f>
        <v>#DIV/0!</v>
      </c>
      <c r="F824" s="288" t="e">
        <f>J824/$H$9</f>
        <v>#DIV/0!</v>
      </c>
      <c r="G824" s="359"/>
    </row>
    <row r="825" spans="2:7" ht="23">
      <c r="B825" s="19">
        <f>B824+1</f>
        <v>2</v>
      </c>
      <c r="C825" s="215" t="s">
        <v>1732</v>
      </c>
      <c r="D825" s="215" t="s">
        <v>1732</v>
      </c>
      <c r="E825" s="288" t="e">
        <f t="shared" ref="E825:E829" si="97">I825/$H$9</f>
        <v>#DIV/0!</v>
      </c>
      <c r="F825" s="288" t="e">
        <f t="shared" ref="F825:F829" si="98">J825/$H$9</f>
        <v>#DIV/0!</v>
      </c>
      <c r="G825" s="359"/>
    </row>
    <row r="826" spans="2:7" ht="23">
      <c r="B826" s="19">
        <f>B825+1</f>
        <v>3</v>
      </c>
      <c r="C826" s="220" t="s">
        <v>57</v>
      </c>
      <c r="D826" s="220" t="s">
        <v>57</v>
      </c>
      <c r="E826" s="288" t="e">
        <f t="shared" si="97"/>
        <v>#DIV/0!</v>
      </c>
      <c r="F826" s="288" t="e">
        <f t="shared" si="98"/>
        <v>#DIV/0!</v>
      </c>
      <c r="G826" s="359"/>
    </row>
    <row r="827" spans="2:7" ht="34.5">
      <c r="B827" s="19">
        <f>B825+1</f>
        <v>3</v>
      </c>
      <c r="C827" s="221" t="s">
        <v>62</v>
      </c>
      <c r="D827" s="221" t="s">
        <v>62</v>
      </c>
      <c r="E827" s="288" t="e">
        <f t="shared" si="97"/>
        <v>#DIV/0!</v>
      </c>
      <c r="F827" s="288" t="e">
        <f t="shared" si="98"/>
        <v>#DIV/0!</v>
      </c>
      <c r="G827" s="359"/>
    </row>
    <row r="828" spans="2:7">
      <c r="B828" s="19">
        <f>B826+1</f>
        <v>4</v>
      </c>
      <c r="C828" s="215" t="s">
        <v>64</v>
      </c>
      <c r="D828" s="215" t="s">
        <v>64</v>
      </c>
      <c r="E828" s="288" t="e">
        <f t="shared" si="97"/>
        <v>#DIV/0!</v>
      </c>
      <c r="F828" s="288" t="e">
        <f t="shared" si="98"/>
        <v>#DIV/0!</v>
      </c>
      <c r="G828" s="359"/>
    </row>
    <row r="829" spans="2:7" ht="34.5">
      <c r="B829" s="19">
        <f>B828+1</f>
        <v>5</v>
      </c>
      <c r="C829" s="215" t="s">
        <v>51</v>
      </c>
      <c r="D829" s="215" t="s">
        <v>51</v>
      </c>
      <c r="E829" s="288" t="e">
        <f t="shared" si="97"/>
        <v>#DIV/0!</v>
      </c>
      <c r="F829" s="288" t="e">
        <f t="shared" si="98"/>
        <v>#DIV/0!</v>
      </c>
      <c r="G829" s="359"/>
    </row>
    <row r="830" spans="2:7" ht="23">
      <c r="B830" s="19">
        <v>7</v>
      </c>
      <c r="C830" s="217" t="s">
        <v>65</v>
      </c>
      <c r="D830" s="217" t="s">
        <v>65</v>
      </c>
      <c r="E830" s="318"/>
      <c r="F830" s="319"/>
      <c r="G830" s="359"/>
    </row>
    <row r="831" spans="2:7" ht="34.5">
      <c r="B831" s="19">
        <v>8</v>
      </c>
      <c r="C831" s="217" t="s">
        <v>60</v>
      </c>
      <c r="D831" s="217" t="s">
        <v>60</v>
      </c>
      <c r="E831" s="157"/>
      <c r="F831" s="157"/>
      <c r="G831" s="359"/>
    </row>
    <row r="832" spans="2:7">
      <c r="B832" s="19">
        <v>9</v>
      </c>
      <c r="C832" s="361"/>
      <c r="D832" s="362"/>
      <c r="E832" s="157"/>
      <c r="F832" s="157"/>
      <c r="G832" s="359"/>
    </row>
    <row r="833" spans="2:7">
      <c r="B833" s="19">
        <v>10</v>
      </c>
      <c r="C833" s="361"/>
      <c r="D833" s="362"/>
      <c r="E833" s="157"/>
      <c r="F833" s="157"/>
      <c r="G833" s="359"/>
    </row>
    <row r="834" spans="2:7">
      <c r="B834" s="19">
        <v>11</v>
      </c>
      <c r="C834" s="361"/>
      <c r="D834" s="362"/>
      <c r="E834" s="157"/>
      <c r="F834" s="157"/>
      <c r="G834" s="359"/>
    </row>
    <row r="835" spans="2:7">
      <c r="B835" s="19">
        <v>12</v>
      </c>
      <c r="C835" s="361"/>
      <c r="D835" s="362"/>
      <c r="E835" s="157"/>
      <c r="F835" s="157"/>
      <c r="G835" s="359"/>
    </row>
    <row r="836" spans="2:7">
      <c r="B836" s="19">
        <v>13</v>
      </c>
      <c r="C836" s="361"/>
      <c r="D836" s="362"/>
      <c r="E836" s="157"/>
      <c r="F836" s="157"/>
      <c r="G836" s="359"/>
    </row>
    <row r="837" spans="2:7">
      <c r="B837" s="19">
        <v>14</v>
      </c>
      <c r="C837" s="361"/>
      <c r="D837" s="362"/>
      <c r="E837" s="157"/>
      <c r="F837" s="157"/>
      <c r="G837" s="359"/>
    </row>
    <row r="838" spans="2:7">
      <c r="B838" s="18">
        <v>15</v>
      </c>
      <c r="C838" s="363"/>
      <c r="D838" s="364"/>
      <c r="E838" s="158"/>
      <c r="F838" s="158"/>
      <c r="G838" s="360"/>
    </row>
    <row r="840" spans="2:7">
      <c r="C840" s="356" t="s">
        <v>43</v>
      </c>
      <c r="D840" s="357"/>
      <c r="E840" s="15" t="s">
        <v>44</v>
      </c>
      <c r="F840" s="15" t="s">
        <v>45</v>
      </c>
      <c r="G840" s="16" t="s">
        <v>46</v>
      </c>
    </row>
    <row r="841" spans="2:7">
      <c r="B841" s="19" t="s">
        <v>49</v>
      </c>
      <c r="C841" s="444" t="s">
        <v>1723</v>
      </c>
      <c r="D841" s="228"/>
      <c r="E841" s="226" t="e">
        <f>SUM(E842:E846)</f>
        <v>#DIV/0!</v>
      </c>
      <c r="F841" s="227" t="e">
        <f>SUM(F842:F846)</f>
        <v>#DIV/0!</v>
      </c>
      <c r="G841" s="358" t="s">
        <v>73</v>
      </c>
    </row>
    <row r="842" spans="2:7" ht="34.5">
      <c r="B842" s="19">
        <v>1</v>
      </c>
      <c r="C842" s="215" t="s">
        <v>55</v>
      </c>
      <c r="D842" s="215" t="s">
        <v>55</v>
      </c>
      <c r="E842" s="288" t="e">
        <f>I842/$H$9</f>
        <v>#DIV/0!</v>
      </c>
      <c r="F842" s="288" t="e">
        <f>J842/$H$9</f>
        <v>#DIV/0!</v>
      </c>
      <c r="G842" s="359"/>
    </row>
    <row r="843" spans="2:7" ht="23">
      <c r="B843" s="19">
        <f>B842+1</f>
        <v>2</v>
      </c>
      <c r="C843" s="215" t="s">
        <v>1732</v>
      </c>
      <c r="D843" s="215" t="s">
        <v>1732</v>
      </c>
      <c r="E843" s="288" t="e">
        <f t="shared" ref="E843:E845" si="99">I843/$H$9</f>
        <v>#DIV/0!</v>
      </c>
      <c r="F843" s="288" t="e">
        <f t="shared" ref="F843:F845" si="100">J843/$H$9</f>
        <v>#DIV/0!</v>
      </c>
      <c r="G843" s="359"/>
    </row>
    <row r="844" spans="2:7" ht="23">
      <c r="B844" s="19">
        <f>B843+1</f>
        <v>3</v>
      </c>
      <c r="C844" s="220" t="s">
        <v>57</v>
      </c>
      <c r="D844" s="220" t="s">
        <v>57</v>
      </c>
      <c r="E844" s="288" t="e">
        <f t="shared" si="99"/>
        <v>#DIV/0!</v>
      </c>
      <c r="F844" s="288" t="e">
        <f t="shared" si="100"/>
        <v>#DIV/0!</v>
      </c>
      <c r="G844" s="359"/>
    </row>
    <row r="845" spans="2:7" ht="34.5">
      <c r="B845" s="19">
        <f>B843+1</f>
        <v>3</v>
      </c>
      <c r="C845" s="221" t="s">
        <v>1804</v>
      </c>
      <c r="D845" s="221" t="s">
        <v>62</v>
      </c>
      <c r="E845" s="288" t="e">
        <f t="shared" si="99"/>
        <v>#DIV/0!</v>
      </c>
      <c r="F845" s="288" t="e">
        <f t="shared" si="100"/>
        <v>#DIV/0!</v>
      </c>
      <c r="G845" s="359"/>
    </row>
    <row r="846" spans="2:7" ht="23">
      <c r="B846" s="19">
        <v>7</v>
      </c>
      <c r="C846" s="217" t="s">
        <v>65</v>
      </c>
      <c r="D846" s="217" t="s">
        <v>65</v>
      </c>
      <c r="E846" s="318"/>
      <c r="F846" s="319"/>
      <c r="G846" s="359"/>
    </row>
    <row r="847" spans="2:7" ht="34.5">
      <c r="B847" s="19">
        <v>8</v>
      </c>
      <c r="C847" s="217" t="s">
        <v>60</v>
      </c>
      <c r="D847" s="217" t="s">
        <v>60</v>
      </c>
      <c r="E847" s="157"/>
      <c r="F847" s="157"/>
      <c r="G847" s="359"/>
    </row>
    <row r="848" spans="2:7">
      <c r="B848" s="19">
        <v>9</v>
      </c>
      <c r="C848" s="361"/>
      <c r="D848" s="362"/>
      <c r="E848" s="157"/>
      <c r="F848" s="157"/>
      <c r="G848" s="359"/>
    </row>
    <row r="849" spans="2:7">
      <c r="B849" s="19">
        <v>10</v>
      </c>
      <c r="C849" s="361"/>
      <c r="D849" s="362"/>
      <c r="E849" s="157"/>
      <c r="F849" s="157"/>
      <c r="G849" s="359"/>
    </row>
    <row r="850" spans="2:7">
      <c r="B850" s="19">
        <v>11</v>
      </c>
      <c r="C850" s="361"/>
      <c r="D850" s="362"/>
      <c r="E850" s="157"/>
      <c r="F850" s="157"/>
      <c r="G850" s="359"/>
    </row>
    <row r="851" spans="2:7">
      <c r="B851" s="19">
        <v>12</v>
      </c>
      <c r="C851" s="361"/>
      <c r="D851" s="362"/>
      <c r="E851" s="157"/>
      <c r="F851" s="157"/>
      <c r="G851" s="359"/>
    </row>
    <row r="852" spans="2:7">
      <c r="B852" s="19">
        <v>13</v>
      </c>
      <c r="C852" s="361"/>
      <c r="D852" s="362"/>
      <c r="E852" s="157"/>
      <c r="F852" s="157"/>
      <c r="G852" s="359"/>
    </row>
    <row r="853" spans="2:7">
      <c r="B853" s="19">
        <v>14</v>
      </c>
      <c r="C853" s="361"/>
      <c r="D853" s="362"/>
      <c r="E853" s="157"/>
      <c r="F853" s="157"/>
      <c r="G853" s="359"/>
    </row>
    <row r="854" spans="2:7">
      <c r="B854" s="18">
        <v>15</v>
      </c>
      <c r="C854" s="363"/>
      <c r="D854" s="364"/>
      <c r="E854" s="158"/>
      <c r="F854" s="158"/>
      <c r="G854" s="360"/>
    </row>
    <row r="856" spans="2:7">
      <c r="C856" s="356" t="s">
        <v>43</v>
      </c>
      <c r="D856" s="357"/>
      <c r="E856" s="15" t="s">
        <v>44</v>
      </c>
      <c r="F856" s="15" t="s">
        <v>45</v>
      </c>
      <c r="G856" s="16" t="s">
        <v>46</v>
      </c>
    </row>
    <row r="857" spans="2:7">
      <c r="B857" s="19" t="s">
        <v>49</v>
      </c>
      <c r="C857" s="444" t="s">
        <v>1724</v>
      </c>
      <c r="D857" s="228"/>
      <c r="E857" s="226" t="e">
        <f>SUM(E858:E861)</f>
        <v>#DIV/0!</v>
      </c>
      <c r="F857" s="227" t="e">
        <f>SUM(F858:F861)</f>
        <v>#DIV/0!</v>
      </c>
      <c r="G857" s="358"/>
    </row>
    <row r="858" spans="2:7" ht="34.5">
      <c r="B858" s="19">
        <v>1</v>
      </c>
      <c r="C858" s="215" t="s">
        <v>55</v>
      </c>
      <c r="D858" s="215" t="s">
        <v>55</v>
      </c>
      <c r="E858" s="288" t="e">
        <f>I858/$H$9</f>
        <v>#DIV/0!</v>
      </c>
      <c r="F858" s="288" t="e">
        <f>J858/$H$9</f>
        <v>#DIV/0!</v>
      </c>
      <c r="G858" s="359"/>
    </row>
    <row r="859" spans="2:7" ht="23">
      <c r="B859" s="19">
        <f>B858+1</f>
        <v>2</v>
      </c>
      <c r="C859" s="215" t="s">
        <v>1732</v>
      </c>
      <c r="D859" s="215" t="s">
        <v>1732</v>
      </c>
      <c r="E859" s="288" t="e">
        <f t="shared" ref="E859:E860" si="101">I859/$H$9</f>
        <v>#DIV/0!</v>
      </c>
      <c r="F859" s="288" t="e">
        <f t="shared" ref="F859:F860" si="102">J859/$H$9</f>
        <v>#DIV/0!</v>
      </c>
      <c r="G859" s="359"/>
    </row>
    <row r="860" spans="2:7" ht="23">
      <c r="B860" s="19">
        <f>B859+1</f>
        <v>3</v>
      </c>
      <c r="C860" s="220" t="s">
        <v>57</v>
      </c>
      <c r="D860" s="220" t="s">
        <v>57</v>
      </c>
      <c r="E860" s="288" t="e">
        <f t="shared" si="101"/>
        <v>#DIV/0!</v>
      </c>
      <c r="F860" s="288" t="e">
        <f t="shared" si="102"/>
        <v>#DIV/0!</v>
      </c>
      <c r="G860" s="359"/>
    </row>
    <row r="861" spans="2:7" ht="23">
      <c r="B861" s="19">
        <v>7</v>
      </c>
      <c r="C861" s="217" t="s">
        <v>65</v>
      </c>
      <c r="D861" s="217" t="s">
        <v>65</v>
      </c>
      <c r="E861" s="318"/>
      <c r="F861" s="319"/>
      <c r="G861" s="359"/>
    </row>
    <row r="862" spans="2:7" ht="34.5">
      <c r="B862" s="19">
        <v>8</v>
      </c>
      <c r="C862" s="217" t="s">
        <v>60</v>
      </c>
      <c r="D862" s="217" t="s">
        <v>60</v>
      </c>
      <c r="E862" s="157"/>
      <c r="F862" s="157"/>
      <c r="G862" s="359"/>
    </row>
    <row r="863" spans="2:7">
      <c r="B863" s="19">
        <v>9</v>
      </c>
      <c r="C863" s="361"/>
      <c r="D863" s="362"/>
      <c r="E863" s="157"/>
      <c r="F863" s="157"/>
      <c r="G863" s="359"/>
    </row>
    <row r="864" spans="2:7">
      <c r="B864" s="19">
        <v>10</v>
      </c>
      <c r="C864" s="361"/>
      <c r="D864" s="362"/>
      <c r="E864" s="157"/>
      <c r="F864" s="157"/>
      <c r="G864" s="359"/>
    </row>
    <row r="865" spans="2:7">
      <c r="B865" s="19">
        <v>11</v>
      </c>
      <c r="C865" s="361"/>
      <c r="D865" s="362"/>
      <c r="E865" s="157"/>
      <c r="F865" s="157"/>
      <c r="G865" s="359"/>
    </row>
    <row r="866" spans="2:7">
      <c r="B866" s="19">
        <v>12</v>
      </c>
      <c r="C866" s="361"/>
      <c r="D866" s="362"/>
      <c r="E866" s="157"/>
      <c r="F866" s="157"/>
      <c r="G866" s="359"/>
    </row>
    <row r="867" spans="2:7">
      <c r="B867" s="19">
        <v>13</v>
      </c>
      <c r="C867" s="361"/>
      <c r="D867" s="362"/>
      <c r="E867" s="157"/>
      <c r="F867" s="157"/>
      <c r="G867" s="359"/>
    </row>
    <row r="868" spans="2:7">
      <c r="B868" s="19">
        <v>14</v>
      </c>
      <c r="C868" s="361"/>
      <c r="D868" s="362"/>
      <c r="E868" s="157"/>
      <c r="F868" s="157"/>
      <c r="G868" s="359"/>
    </row>
    <row r="869" spans="2:7">
      <c r="B869" s="18">
        <v>15</v>
      </c>
      <c r="C869" s="363"/>
      <c r="D869" s="364"/>
      <c r="E869" s="158"/>
      <c r="F869" s="158"/>
      <c r="G869" s="360"/>
    </row>
    <row r="871" spans="2:7">
      <c r="C871" s="356" t="s">
        <v>43</v>
      </c>
      <c r="D871" s="357"/>
      <c r="E871" s="15" t="s">
        <v>44</v>
      </c>
      <c r="F871" s="15" t="s">
        <v>45</v>
      </c>
      <c r="G871" s="16" t="s">
        <v>46</v>
      </c>
    </row>
    <row r="872" spans="2:7">
      <c r="B872" s="19" t="s">
        <v>49</v>
      </c>
      <c r="C872" s="444" t="s">
        <v>1806</v>
      </c>
      <c r="D872" s="228"/>
      <c r="E872" s="226" t="e">
        <f>SUM(E873:E876)</f>
        <v>#DIV/0!</v>
      </c>
      <c r="F872" s="227" t="e">
        <f>SUM(F873:F876)</f>
        <v>#DIV/0!</v>
      </c>
      <c r="G872" s="358"/>
    </row>
    <row r="873" spans="2:7" ht="34.5">
      <c r="B873" s="19">
        <v>1</v>
      </c>
      <c r="C873" s="215" t="s">
        <v>55</v>
      </c>
      <c r="D873" s="215" t="s">
        <v>55</v>
      </c>
      <c r="E873" s="288" t="e">
        <f>I873/$H$9</f>
        <v>#DIV/0!</v>
      </c>
      <c r="F873" s="288" t="e">
        <f>J873/$H$9</f>
        <v>#DIV/0!</v>
      </c>
      <c r="G873" s="359"/>
    </row>
    <row r="874" spans="2:7" ht="23">
      <c r="B874" s="19">
        <f>B873+1</f>
        <v>2</v>
      </c>
      <c r="C874" s="215" t="s">
        <v>1732</v>
      </c>
      <c r="D874" s="215" t="s">
        <v>1732</v>
      </c>
      <c r="E874" s="288" t="e">
        <f t="shared" ref="E874:E875" si="103">I874/$H$9</f>
        <v>#DIV/0!</v>
      </c>
      <c r="F874" s="288" t="e">
        <f t="shared" ref="F874:F875" si="104">J874/$H$9</f>
        <v>#DIV/0!</v>
      </c>
      <c r="G874" s="359"/>
    </row>
    <row r="875" spans="2:7" ht="23">
      <c r="B875" s="19">
        <f>B874+1</f>
        <v>3</v>
      </c>
      <c r="C875" s="220" t="s">
        <v>57</v>
      </c>
      <c r="D875" s="220" t="s">
        <v>57</v>
      </c>
      <c r="E875" s="288" t="e">
        <f t="shared" si="103"/>
        <v>#DIV/0!</v>
      </c>
      <c r="F875" s="288" t="e">
        <f t="shared" si="104"/>
        <v>#DIV/0!</v>
      </c>
      <c r="G875" s="359"/>
    </row>
    <row r="876" spans="2:7" ht="23">
      <c r="B876" s="19">
        <v>7</v>
      </c>
      <c r="C876" s="217" t="s">
        <v>65</v>
      </c>
      <c r="D876" s="217" t="s">
        <v>65</v>
      </c>
      <c r="E876" s="318"/>
      <c r="F876" s="319"/>
      <c r="G876" s="359"/>
    </row>
    <row r="877" spans="2:7" ht="34.5">
      <c r="B877" s="19">
        <v>8</v>
      </c>
      <c r="C877" s="217" t="s">
        <v>60</v>
      </c>
      <c r="D877" s="217" t="s">
        <v>60</v>
      </c>
      <c r="E877" s="157"/>
      <c r="F877" s="157"/>
      <c r="G877" s="359"/>
    </row>
    <row r="878" spans="2:7">
      <c r="B878" s="19">
        <v>9</v>
      </c>
      <c r="C878" s="361"/>
      <c r="D878" s="362"/>
      <c r="E878" s="157"/>
      <c r="F878" s="157"/>
      <c r="G878" s="359"/>
    </row>
    <row r="879" spans="2:7">
      <c r="B879" s="19">
        <v>10</v>
      </c>
      <c r="C879" s="361"/>
      <c r="D879" s="362"/>
      <c r="E879" s="157"/>
      <c r="F879" s="157"/>
      <c r="G879" s="359"/>
    </row>
    <row r="880" spans="2:7">
      <c r="B880" s="19">
        <v>11</v>
      </c>
      <c r="C880" s="361"/>
      <c r="D880" s="362"/>
      <c r="E880" s="157"/>
      <c r="F880" s="157"/>
      <c r="G880" s="359"/>
    </row>
    <row r="881" spans="2:7">
      <c r="B881" s="19">
        <v>12</v>
      </c>
      <c r="C881" s="361"/>
      <c r="D881" s="362"/>
      <c r="E881" s="157"/>
      <c r="F881" s="157"/>
      <c r="G881" s="359"/>
    </row>
    <row r="882" spans="2:7">
      <c r="B882" s="19">
        <v>13</v>
      </c>
      <c r="C882" s="361"/>
      <c r="D882" s="362"/>
      <c r="E882" s="157"/>
      <c r="F882" s="157"/>
      <c r="G882" s="359"/>
    </row>
    <row r="883" spans="2:7">
      <c r="B883" s="19">
        <v>14</v>
      </c>
      <c r="C883" s="361"/>
      <c r="D883" s="362"/>
      <c r="E883" s="157"/>
      <c r="F883" s="157"/>
      <c r="G883" s="359"/>
    </row>
    <row r="884" spans="2:7">
      <c r="B884" s="18">
        <v>15</v>
      </c>
      <c r="C884" s="363"/>
      <c r="D884" s="364"/>
      <c r="E884" s="158"/>
      <c r="F884" s="158"/>
      <c r="G884" s="360"/>
    </row>
    <row r="886" spans="2:7">
      <c r="C886" s="356" t="s">
        <v>43</v>
      </c>
      <c r="D886" s="357"/>
      <c r="E886" s="15" t="s">
        <v>44</v>
      </c>
      <c r="F886" s="15" t="s">
        <v>45</v>
      </c>
      <c r="G886" s="16" t="s">
        <v>46</v>
      </c>
    </row>
    <row r="887" spans="2:7">
      <c r="B887" s="19" t="s">
        <v>49</v>
      </c>
      <c r="C887" s="13" t="s">
        <v>1725</v>
      </c>
      <c r="D887" s="228"/>
      <c r="E887" s="226" t="e">
        <f>SUM(E888:E891)</f>
        <v>#DIV/0!</v>
      </c>
      <c r="F887" s="227" t="e">
        <f>SUM(F888:F891)</f>
        <v>#DIV/0!</v>
      </c>
      <c r="G887" s="358"/>
    </row>
    <row r="888" spans="2:7" ht="34.5">
      <c r="B888" s="19">
        <v>1</v>
      </c>
      <c r="C888" s="215" t="s">
        <v>55</v>
      </c>
      <c r="D888" s="215" t="s">
        <v>55</v>
      </c>
      <c r="E888" s="288" t="e">
        <f>I888/$H$9</f>
        <v>#DIV/0!</v>
      </c>
      <c r="F888" s="288" t="e">
        <f>J888/$H$9</f>
        <v>#DIV/0!</v>
      </c>
      <c r="G888" s="359"/>
    </row>
    <row r="889" spans="2:7" ht="23">
      <c r="B889" s="19">
        <f>B888+1</f>
        <v>2</v>
      </c>
      <c r="C889" s="215" t="s">
        <v>1732</v>
      </c>
      <c r="D889" s="215" t="s">
        <v>1732</v>
      </c>
      <c r="E889" s="288" t="e">
        <f t="shared" ref="E889:E890" si="105">I889/$H$9</f>
        <v>#DIV/0!</v>
      </c>
      <c r="F889" s="288" t="e">
        <f t="shared" ref="F889:F890" si="106">J889/$H$9</f>
        <v>#DIV/0!</v>
      </c>
      <c r="G889" s="359"/>
    </row>
    <row r="890" spans="2:7" ht="23">
      <c r="B890" s="19">
        <f>B889+1</f>
        <v>3</v>
      </c>
      <c r="C890" s="220" t="s">
        <v>57</v>
      </c>
      <c r="D890" s="220" t="s">
        <v>57</v>
      </c>
      <c r="E890" s="288" t="e">
        <f t="shared" si="105"/>
        <v>#DIV/0!</v>
      </c>
      <c r="F890" s="288" t="e">
        <f t="shared" si="106"/>
        <v>#DIV/0!</v>
      </c>
      <c r="G890" s="359"/>
    </row>
    <row r="891" spans="2:7" ht="23">
      <c r="B891" s="19">
        <v>7</v>
      </c>
      <c r="C891" s="217" t="s">
        <v>65</v>
      </c>
      <c r="D891" s="217" t="s">
        <v>65</v>
      </c>
      <c r="E891" s="318"/>
      <c r="F891" s="319"/>
      <c r="G891" s="359"/>
    </row>
    <row r="892" spans="2:7" ht="34.5">
      <c r="B892" s="19">
        <v>8</v>
      </c>
      <c r="C892" s="217" t="s">
        <v>60</v>
      </c>
      <c r="D892" s="217" t="s">
        <v>60</v>
      </c>
      <c r="E892" s="157"/>
      <c r="F892" s="157"/>
      <c r="G892" s="359"/>
    </row>
    <row r="893" spans="2:7">
      <c r="B893" s="19">
        <v>9</v>
      </c>
      <c r="C893" s="361"/>
      <c r="D893" s="362"/>
      <c r="E893" s="157"/>
      <c r="F893" s="157"/>
      <c r="G893" s="359"/>
    </row>
    <row r="894" spans="2:7">
      <c r="B894" s="19">
        <v>10</v>
      </c>
      <c r="C894" s="361"/>
      <c r="D894" s="362"/>
      <c r="E894" s="157"/>
      <c r="F894" s="157"/>
      <c r="G894" s="359"/>
    </row>
    <row r="895" spans="2:7">
      <c r="B895" s="19">
        <v>11</v>
      </c>
      <c r="C895" s="361"/>
      <c r="D895" s="362"/>
      <c r="E895" s="157"/>
      <c r="F895" s="157"/>
      <c r="G895" s="359"/>
    </row>
    <row r="896" spans="2:7">
      <c r="B896" s="19">
        <v>12</v>
      </c>
      <c r="C896" s="361"/>
      <c r="D896" s="362"/>
      <c r="E896" s="157"/>
      <c r="F896" s="157"/>
      <c r="G896" s="359"/>
    </row>
    <row r="897" spans="2:7">
      <c r="B897" s="19">
        <v>13</v>
      </c>
      <c r="C897" s="361"/>
      <c r="D897" s="362"/>
      <c r="E897" s="157"/>
      <c r="F897" s="157"/>
      <c r="G897" s="359"/>
    </row>
    <row r="898" spans="2:7">
      <c r="B898" s="19">
        <v>14</v>
      </c>
      <c r="C898" s="361"/>
      <c r="D898" s="362"/>
      <c r="E898" s="157"/>
      <c r="F898" s="157"/>
      <c r="G898" s="359"/>
    </row>
    <row r="899" spans="2:7">
      <c r="B899" s="18">
        <v>15</v>
      </c>
      <c r="C899" s="363"/>
      <c r="D899" s="364"/>
      <c r="E899" s="158"/>
      <c r="F899" s="158"/>
      <c r="G899" s="360"/>
    </row>
    <row r="901" spans="2:7">
      <c r="C901" s="356" t="s">
        <v>43</v>
      </c>
      <c r="D901" s="357"/>
      <c r="E901" s="15" t="s">
        <v>44</v>
      </c>
      <c r="F901" s="15" t="s">
        <v>45</v>
      </c>
      <c r="G901" s="16" t="s">
        <v>46</v>
      </c>
    </row>
    <row r="902" spans="2:7">
      <c r="B902" s="19" t="s">
        <v>49</v>
      </c>
      <c r="C902" s="13" t="s">
        <v>1810</v>
      </c>
      <c r="D902" s="228"/>
      <c r="E902" s="226" t="e">
        <f>SUM(E903:E906)</f>
        <v>#DIV/0!</v>
      </c>
      <c r="F902" s="227" t="e">
        <f>SUM(F903:F906)</f>
        <v>#DIV/0!</v>
      </c>
      <c r="G902" s="358" t="s">
        <v>1827</v>
      </c>
    </row>
    <row r="903" spans="2:7" ht="34.5">
      <c r="B903" s="19">
        <v>1</v>
      </c>
      <c r="C903" s="215" t="s">
        <v>55</v>
      </c>
      <c r="D903" s="215" t="s">
        <v>55</v>
      </c>
      <c r="E903" s="288" t="e">
        <f>I903/$H$9</f>
        <v>#DIV/0!</v>
      </c>
      <c r="F903" s="288" t="e">
        <f>J903/$H$9</f>
        <v>#DIV/0!</v>
      </c>
      <c r="G903" s="359"/>
    </row>
    <row r="904" spans="2:7" ht="23">
      <c r="B904" s="19">
        <f>B903+1</f>
        <v>2</v>
      </c>
      <c r="C904" s="215" t="s">
        <v>1732</v>
      </c>
      <c r="D904" s="215" t="s">
        <v>1732</v>
      </c>
      <c r="E904" s="288" t="e">
        <f t="shared" ref="E904:E905" si="107">I904/$H$9</f>
        <v>#DIV/0!</v>
      </c>
      <c r="F904" s="288" t="e">
        <f t="shared" ref="F904:F905" si="108">J904/$H$9</f>
        <v>#DIV/0!</v>
      </c>
      <c r="G904" s="359"/>
    </row>
    <row r="905" spans="2:7" ht="23">
      <c r="B905" s="19">
        <f>B904+1</f>
        <v>3</v>
      </c>
      <c r="C905" s="220" t="s">
        <v>57</v>
      </c>
      <c r="D905" s="220" t="s">
        <v>57</v>
      </c>
      <c r="E905" s="288" t="e">
        <f t="shared" si="107"/>
        <v>#DIV/0!</v>
      </c>
      <c r="F905" s="288" t="e">
        <f t="shared" si="108"/>
        <v>#DIV/0!</v>
      </c>
      <c r="G905" s="359"/>
    </row>
    <row r="906" spans="2:7" ht="23">
      <c r="B906" s="19">
        <v>7</v>
      </c>
      <c r="C906" s="217" t="s">
        <v>65</v>
      </c>
      <c r="D906" s="217" t="s">
        <v>65</v>
      </c>
      <c r="E906" s="318"/>
      <c r="F906" s="319"/>
      <c r="G906" s="359"/>
    </row>
    <row r="907" spans="2:7" ht="34.5">
      <c r="B907" s="19">
        <v>8</v>
      </c>
      <c r="C907" s="217" t="s">
        <v>60</v>
      </c>
      <c r="D907" s="217" t="s">
        <v>60</v>
      </c>
      <c r="E907" s="157"/>
      <c r="F907" s="157"/>
      <c r="G907" s="359"/>
    </row>
    <row r="908" spans="2:7">
      <c r="B908" s="19">
        <v>9</v>
      </c>
      <c r="C908" s="361"/>
      <c r="D908" s="362"/>
      <c r="E908" s="157"/>
      <c r="F908" s="157"/>
      <c r="G908" s="359"/>
    </row>
    <row r="909" spans="2:7">
      <c r="B909" s="19">
        <v>10</v>
      </c>
      <c r="C909" s="361"/>
      <c r="D909" s="362"/>
      <c r="E909" s="157"/>
      <c r="F909" s="157"/>
      <c r="G909" s="359"/>
    </row>
    <row r="910" spans="2:7">
      <c r="B910" s="19">
        <v>11</v>
      </c>
      <c r="C910" s="361"/>
      <c r="D910" s="362"/>
      <c r="E910" s="157"/>
      <c r="F910" s="157"/>
      <c r="G910" s="359"/>
    </row>
    <row r="911" spans="2:7">
      <c r="B911" s="19">
        <v>12</v>
      </c>
      <c r="C911" s="361"/>
      <c r="D911" s="362"/>
      <c r="E911" s="157"/>
      <c r="F911" s="157"/>
      <c r="G911" s="359"/>
    </row>
    <row r="912" spans="2:7">
      <c r="B912" s="19">
        <v>13</v>
      </c>
      <c r="C912" s="361"/>
      <c r="D912" s="362"/>
      <c r="E912" s="157"/>
      <c r="F912" s="157"/>
      <c r="G912" s="359"/>
    </row>
    <row r="913" spans="2:7">
      <c r="B913" s="19">
        <v>14</v>
      </c>
      <c r="C913" s="361"/>
      <c r="D913" s="362"/>
      <c r="E913" s="157"/>
      <c r="F913" s="157"/>
      <c r="G913" s="359"/>
    </row>
    <row r="914" spans="2:7">
      <c r="B914" s="18">
        <v>15</v>
      </c>
      <c r="C914" s="363"/>
      <c r="D914" s="364"/>
      <c r="E914" s="158"/>
      <c r="F914" s="158"/>
      <c r="G914" s="360"/>
    </row>
    <row r="916" spans="2:7">
      <c r="C916" s="356" t="s">
        <v>43</v>
      </c>
      <c r="D916" s="357"/>
      <c r="E916" s="15" t="s">
        <v>44</v>
      </c>
      <c r="F916" s="15" t="s">
        <v>45</v>
      </c>
      <c r="G916" s="16" t="s">
        <v>46</v>
      </c>
    </row>
    <row r="917" spans="2:7">
      <c r="B917" s="19" t="s">
        <v>49</v>
      </c>
      <c r="C917" s="13" t="s">
        <v>1828</v>
      </c>
      <c r="D917" s="228"/>
      <c r="E917" s="226" t="e">
        <f>SUM(E918:E921)</f>
        <v>#DIV/0!</v>
      </c>
      <c r="F917" s="227" t="e">
        <f>SUM(F918:F921)</f>
        <v>#DIV/0!</v>
      </c>
      <c r="G917" s="358"/>
    </row>
    <row r="918" spans="2:7" ht="34.5">
      <c r="B918" s="19">
        <v>1</v>
      </c>
      <c r="C918" s="215" t="s">
        <v>55</v>
      </c>
      <c r="D918" s="215" t="s">
        <v>55</v>
      </c>
      <c r="E918" s="288" t="e">
        <f>I918/$H$9</f>
        <v>#DIV/0!</v>
      </c>
      <c r="F918" s="288" t="e">
        <f>J918/$H$9</f>
        <v>#DIV/0!</v>
      </c>
      <c r="G918" s="359"/>
    </row>
    <row r="919" spans="2:7" ht="23">
      <c r="B919" s="19">
        <f>B918+1</f>
        <v>2</v>
      </c>
      <c r="C919" s="215" t="s">
        <v>1732</v>
      </c>
      <c r="D919" s="215" t="s">
        <v>1732</v>
      </c>
      <c r="E919" s="288" t="e">
        <f t="shared" ref="E919:E920" si="109">I919/$H$9</f>
        <v>#DIV/0!</v>
      </c>
      <c r="F919" s="288" t="e">
        <f t="shared" ref="F919:F920" si="110">J919/$H$9</f>
        <v>#DIV/0!</v>
      </c>
      <c r="G919" s="359"/>
    </row>
    <row r="920" spans="2:7" ht="23">
      <c r="B920" s="19">
        <f>B919+1</f>
        <v>3</v>
      </c>
      <c r="C920" s="220" t="s">
        <v>57</v>
      </c>
      <c r="D920" s="220" t="s">
        <v>57</v>
      </c>
      <c r="E920" s="288" t="e">
        <f t="shared" si="109"/>
        <v>#DIV/0!</v>
      </c>
      <c r="F920" s="288" t="e">
        <f t="shared" si="110"/>
        <v>#DIV/0!</v>
      </c>
      <c r="G920" s="359"/>
    </row>
    <row r="921" spans="2:7" ht="23">
      <c r="B921" s="19">
        <v>7</v>
      </c>
      <c r="C921" s="217" t="s">
        <v>65</v>
      </c>
      <c r="D921" s="217" t="s">
        <v>65</v>
      </c>
      <c r="E921" s="318"/>
      <c r="F921" s="319"/>
      <c r="G921" s="359"/>
    </row>
    <row r="922" spans="2:7" ht="34.5">
      <c r="B922" s="19">
        <v>8</v>
      </c>
      <c r="C922" s="217" t="s">
        <v>60</v>
      </c>
      <c r="D922" s="217" t="s">
        <v>60</v>
      </c>
      <c r="E922" s="157"/>
      <c r="F922" s="157"/>
      <c r="G922" s="359"/>
    </row>
    <row r="923" spans="2:7">
      <c r="B923" s="19">
        <v>9</v>
      </c>
      <c r="C923" s="361"/>
      <c r="D923" s="362"/>
      <c r="E923" s="157"/>
      <c r="F923" s="157"/>
      <c r="G923" s="359"/>
    </row>
    <row r="924" spans="2:7">
      <c r="B924" s="19">
        <v>10</v>
      </c>
      <c r="C924" s="361"/>
      <c r="D924" s="362"/>
      <c r="E924" s="157"/>
      <c r="F924" s="157"/>
      <c r="G924" s="359"/>
    </row>
    <row r="925" spans="2:7">
      <c r="B925" s="19">
        <v>11</v>
      </c>
      <c r="C925" s="361"/>
      <c r="D925" s="362"/>
      <c r="E925" s="157"/>
      <c r="F925" s="157"/>
      <c r="G925" s="359"/>
    </row>
    <row r="926" spans="2:7">
      <c r="B926" s="19">
        <v>12</v>
      </c>
      <c r="C926" s="361"/>
      <c r="D926" s="362"/>
      <c r="E926" s="157"/>
      <c r="F926" s="157"/>
      <c r="G926" s="359"/>
    </row>
    <row r="927" spans="2:7">
      <c r="B927" s="19">
        <v>13</v>
      </c>
      <c r="C927" s="361"/>
      <c r="D927" s="362"/>
      <c r="E927" s="157"/>
      <c r="F927" s="157"/>
      <c r="G927" s="359"/>
    </row>
    <row r="928" spans="2:7">
      <c r="B928" s="19">
        <v>14</v>
      </c>
      <c r="C928" s="361"/>
      <c r="D928" s="362"/>
      <c r="E928" s="157"/>
      <c r="F928" s="157"/>
      <c r="G928" s="359"/>
    </row>
    <row r="929" spans="2:7">
      <c r="B929" s="18">
        <v>15</v>
      </c>
      <c r="C929" s="363"/>
      <c r="D929" s="364"/>
      <c r="E929" s="158"/>
      <c r="F929" s="158"/>
      <c r="G929" s="360"/>
    </row>
    <row r="931" spans="2:7">
      <c r="C931" s="356" t="s">
        <v>43</v>
      </c>
      <c r="D931" s="357"/>
      <c r="E931" s="15" t="s">
        <v>44</v>
      </c>
      <c r="F931" s="15" t="s">
        <v>45</v>
      </c>
      <c r="G931" s="16" t="s">
        <v>46</v>
      </c>
    </row>
    <row r="932" spans="2:7">
      <c r="B932" s="19" t="s">
        <v>49</v>
      </c>
      <c r="C932" s="444" t="s">
        <v>1811</v>
      </c>
      <c r="D932" s="228"/>
      <c r="E932" s="226" t="e">
        <f>SUM(E933:E936)</f>
        <v>#DIV/0!</v>
      </c>
      <c r="F932" s="227" t="e">
        <f>SUM(F933:F936)</f>
        <v>#DIV/0!</v>
      </c>
      <c r="G932" s="358"/>
    </row>
    <row r="933" spans="2:7" ht="34.5">
      <c r="B933" s="19">
        <v>1</v>
      </c>
      <c r="C933" s="215" t="s">
        <v>55</v>
      </c>
      <c r="D933" s="215" t="s">
        <v>55</v>
      </c>
      <c r="E933" s="288" t="e">
        <f>I933/$H$9</f>
        <v>#DIV/0!</v>
      </c>
      <c r="F933" s="288" t="e">
        <f>J933/$H$9</f>
        <v>#DIV/0!</v>
      </c>
      <c r="G933" s="359"/>
    </row>
    <row r="934" spans="2:7" ht="23">
      <c r="B934" s="19">
        <f>B933+1</f>
        <v>2</v>
      </c>
      <c r="C934" s="215" t="s">
        <v>1732</v>
      </c>
      <c r="D934" s="215" t="s">
        <v>1732</v>
      </c>
      <c r="E934" s="288" t="e">
        <f t="shared" ref="E934:E935" si="111">I934/$H$9</f>
        <v>#DIV/0!</v>
      </c>
      <c r="F934" s="288" t="e">
        <f t="shared" ref="F934:F935" si="112">J934/$H$9</f>
        <v>#DIV/0!</v>
      </c>
      <c r="G934" s="359"/>
    </row>
    <row r="935" spans="2:7" ht="23">
      <c r="B935" s="19">
        <f>B934+1</f>
        <v>3</v>
      </c>
      <c r="C935" s="220" t="s">
        <v>57</v>
      </c>
      <c r="D935" s="220" t="s">
        <v>57</v>
      </c>
      <c r="E935" s="288" t="e">
        <f t="shared" si="111"/>
        <v>#DIV/0!</v>
      </c>
      <c r="F935" s="288" t="e">
        <f t="shared" si="112"/>
        <v>#DIV/0!</v>
      </c>
      <c r="G935" s="359"/>
    </row>
    <row r="936" spans="2:7" ht="23">
      <c r="B936" s="19">
        <v>7</v>
      </c>
      <c r="C936" s="217" t="s">
        <v>65</v>
      </c>
      <c r="D936" s="217" t="s">
        <v>65</v>
      </c>
      <c r="E936" s="318"/>
      <c r="F936" s="319"/>
      <c r="G936" s="359"/>
    </row>
    <row r="937" spans="2:7" ht="34.5">
      <c r="B937" s="19">
        <v>8</v>
      </c>
      <c r="C937" s="217" t="s">
        <v>60</v>
      </c>
      <c r="D937" s="217" t="s">
        <v>60</v>
      </c>
      <c r="E937" s="157"/>
      <c r="F937" s="157"/>
      <c r="G937" s="359"/>
    </row>
    <row r="938" spans="2:7">
      <c r="B938" s="19">
        <v>9</v>
      </c>
      <c r="C938" s="361"/>
      <c r="D938" s="362"/>
      <c r="E938" s="157"/>
      <c r="F938" s="157"/>
      <c r="G938" s="359"/>
    </row>
    <row r="939" spans="2:7">
      <c r="B939" s="19">
        <v>10</v>
      </c>
      <c r="C939" s="361"/>
      <c r="D939" s="362"/>
      <c r="E939" s="157"/>
      <c r="F939" s="157"/>
      <c r="G939" s="359"/>
    </row>
    <row r="940" spans="2:7">
      <c r="B940" s="19">
        <v>11</v>
      </c>
      <c r="C940" s="361"/>
      <c r="D940" s="362"/>
      <c r="E940" s="157"/>
      <c r="F940" s="157"/>
      <c r="G940" s="359"/>
    </row>
    <row r="941" spans="2:7">
      <c r="B941" s="19">
        <v>12</v>
      </c>
      <c r="C941" s="361"/>
      <c r="D941" s="362"/>
      <c r="E941" s="157"/>
      <c r="F941" s="157"/>
      <c r="G941" s="359"/>
    </row>
    <row r="942" spans="2:7">
      <c r="B942" s="19">
        <v>13</v>
      </c>
      <c r="C942" s="361"/>
      <c r="D942" s="362"/>
      <c r="E942" s="157"/>
      <c r="F942" s="157"/>
      <c r="G942" s="359"/>
    </row>
    <row r="943" spans="2:7">
      <c r="B943" s="19">
        <v>14</v>
      </c>
      <c r="C943" s="361"/>
      <c r="D943" s="362"/>
      <c r="E943" s="157"/>
      <c r="F943" s="157"/>
      <c r="G943" s="359"/>
    </row>
    <row r="944" spans="2:7">
      <c r="B944" s="18">
        <v>15</v>
      </c>
      <c r="C944" s="363"/>
      <c r="D944" s="364"/>
      <c r="E944" s="158"/>
      <c r="F944" s="158"/>
      <c r="G944" s="360"/>
    </row>
    <row r="946" spans="2:7">
      <c r="C946" s="356" t="s">
        <v>43</v>
      </c>
      <c r="D946" s="357"/>
      <c r="E946" s="15" t="s">
        <v>44</v>
      </c>
      <c r="F946" s="15" t="s">
        <v>45</v>
      </c>
      <c r="G946" s="16" t="s">
        <v>46</v>
      </c>
    </row>
    <row r="947" spans="2:7">
      <c r="B947" s="19" t="s">
        <v>49</v>
      </c>
      <c r="C947" s="13" t="s">
        <v>1772</v>
      </c>
      <c r="D947" s="228"/>
      <c r="E947" s="226" t="e">
        <f>SUM(E948:E951)</f>
        <v>#DIV/0!</v>
      </c>
      <c r="F947" s="227" t="e">
        <f>SUM(F948:F951)</f>
        <v>#DIV/0!</v>
      </c>
      <c r="G947" s="358"/>
    </row>
    <row r="948" spans="2:7" ht="34.5">
      <c r="B948" s="19">
        <v>1</v>
      </c>
      <c r="C948" s="215" t="s">
        <v>55</v>
      </c>
      <c r="D948" s="215" t="s">
        <v>55</v>
      </c>
      <c r="E948" s="288" t="e">
        <f>I948/$H$9</f>
        <v>#DIV/0!</v>
      </c>
      <c r="F948" s="288" t="e">
        <f>J948/$H$9</f>
        <v>#DIV/0!</v>
      </c>
      <c r="G948" s="359"/>
    </row>
    <row r="949" spans="2:7" ht="23">
      <c r="B949" s="19">
        <f>B948+1</f>
        <v>2</v>
      </c>
      <c r="C949" s="215" t="s">
        <v>1732</v>
      </c>
      <c r="D949" s="215" t="s">
        <v>1732</v>
      </c>
      <c r="E949" s="288" t="e">
        <f t="shared" ref="E949:E950" si="113">I949/$H$9</f>
        <v>#DIV/0!</v>
      </c>
      <c r="F949" s="288" t="e">
        <f t="shared" ref="F949:F950" si="114">J949/$H$9</f>
        <v>#DIV/0!</v>
      </c>
      <c r="G949" s="359"/>
    </row>
    <row r="950" spans="2:7" ht="23">
      <c r="B950" s="19">
        <f>B949+1</f>
        <v>3</v>
      </c>
      <c r="C950" s="220" t="s">
        <v>57</v>
      </c>
      <c r="D950" s="220" t="s">
        <v>57</v>
      </c>
      <c r="E950" s="288" t="e">
        <f t="shared" si="113"/>
        <v>#DIV/0!</v>
      </c>
      <c r="F950" s="288" t="e">
        <f t="shared" si="114"/>
        <v>#DIV/0!</v>
      </c>
      <c r="G950" s="359"/>
    </row>
    <row r="951" spans="2:7" ht="23">
      <c r="B951" s="19">
        <v>7</v>
      </c>
      <c r="C951" s="217" t="s">
        <v>65</v>
      </c>
      <c r="D951" s="217" t="s">
        <v>65</v>
      </c>
      <c r="E951" s="318"/>
      <c r="F951" s="319"/>
      <c r="G951" s="359"/>
    </row>
    <row r="952" spans="2:7" ht="34.5">
      <c r="B952" s="19">
        <v>8</v>
      </c>
      <c r="C952" s="217" t="s">
        <v>60</v>
      </c>
      <c r="D952" s="217" t="s">
        <v>60</v>
      </c>
      <c r="E952" s="157"/>
      <c r="F952" s="157"/>
      <c r="G952" s="359"/>
    </row>
    <row r="953" spans="2:7">
      <c r="B953" s="19">
        <v>9</v>
      </c>
      <c r="C953" s="361"/>
      <c r="D953" s="362"/>
      <c r="E953" s="157"/>
      <c r="F953" s="157"/>
      <c r="G953" s="359"/>
    </row>
    <row r="954" spans="2:7">
      <c r="B954" s="19">
        <v>10</v>
      </c>
      <c r="C954" s="361"/>
      <c r="D954" s="362"/>
      <c r="E954" s="157"/>
      <c r="F954" s="157"/>
      <c r="G954" s="359"/>
    </row>
    <row r="955" spans="2:7">
      <c r="B955" s="19">
        <v>11</v>
      </c>
      <c r="C955" s="361"/>
      <c r="D955" s="362"/>
      <c r="E955" s="157"/>
      <c r="F955" s="157"/>
      <c r="G955" s="359"/>
    </row>
    <row r="956" spans="2:7">
      <c r="B956" s="19">
        <v>12</v>
      </c>
      <c r="C956" s="361"/>
      <c r="D956" s="362"/>
      <c r="E956" s="157"/>
      <c r="F956" s="157"/>
      <c r="G956" s="359"/>
    </row>
    <row r="957" spans="2:7">
      <c r="B957" s="19">
        <v>13</v>
      </c>
      <c r="C957" s="361"/>
      <c r="D957" s="362"/>
      <c r="E957" s="157"/>
      <c r="F957" s="157"/>
      <c r="G957" s="359"/>
    </row>
    <row r="958" spans="2:7">
      <c r="B958" s="19">
        <v>14</v>
      </c>
      <c r="C958" s="361"/>
      <c r="D958" s="362"/>
      <c r="E958" s="157"/>
      <c r="F958" s="157"/>
      <c r="G958" s="359"/>
    </row>
    <row r="959" spans="2:7">
      <c r="B959" s="18">
        <v>15</v>
      </c>
      <c r="C959" s="363"/>
      <c r="D959" s="364"/>
      <c r="E959" s="158"/>
      <c r="F959" s="158"/>
      <c r="G959" s="360"/>
    </row>
    <row r="961" spans="2:7">
      <c r="C961" s="356" t="s">
        <v>43</v>
      </c>
      <c r="D961" s="357"/>
      <c r="E961" s="15" t="s">
        <v>44</v>
      </c>
      <c r="F961" s="15" t="s">
        <v>45</v>
      </c>
      <c r="G961" s="16" t="s">
        <v>46</v>
      </c>
    </row>
    <row r="962" spans="2:7">
      <c r="B962" s="19" t="s">
        <v>49</v>
      </c>
      <c r="C962" s="13" t="s">
        <v>1771</v>
      </c>
      <c r="D962" s="228"/>
      <c r="E962" s="226" t="e">
        <f>SUM(E963:E966)</f>
        <v>#DIV/0!</v>
      </c>
      <c r="F962" s="227" t="e">
        <f>SUM(F963:F966)</f>
        <v>#DIV/0!</v>
      </c>
      <c r="G962" s="358"/>
    </row>
    <row r="963" spans="2:7" ht="34.5">
      <c r="B963" s="19">
        <v>1</v>
      </c>
      <c r="C963" s="215" t="s">
        <v>55</v>
      </c>
      <c r="D963" s="215" t="s">
        <v>55</v>
      </c>
      <c r="E963" s="288" t="e">
        <f>I963/$H$9</f>
        <v>#DIV/0!</v>
      </c>
      <c r="F963" s="288" t="e">
        <f>J963/$H$9</f>
        <v>#DIV/0!</v>
      </c>
      <c r="G963" s="359"/>
    </row>
    <row r="964" spans="2:7" ht="23">
      <c r="B964" s="19">
        <f>B963+1</f>
        <v>2</v>
      </c>
      <c r="C964" s="215" t="s">
        <v>1732</v>
      </c>
      <c r="D964" s="215" t="s">
        <v>1732</v>
      </c>
      <c r="E964" s="288" t="e">
        <f t="shared" ref="E964:E965" si="115">I964/$H$9</f>
        <v>#DIV/0!</v>
      </c>
      <c r="F964" s="288" t="e">
        <f t="shared" ref="F964:F965" si="116">J964/$H$9</f>
        <v>#DIV/0!</v>
      </c>
      <c r="G964" s="359"/>
    </row>
    <row r="965" spans="2:7" ht="23">
      <c r="B965" s="19">
        <f>B964+1</f>
        <v>3</v>
      </c>
      <c r="C965" s="220" t="s">
        <v>57</v>
      </c>
      <c r="D965" s="220" t="s">
        <v>57</v>
      </c>
      <c r="E965" s="288" t="e">
        <f t="shared" si="115"/>
        <v>#DIV/0!</v>
      </c>
      <c r="F965" s="288" t="e">
        <f t="shared" si="116"/>
        <v>#DIV/0!</v>
      </c>
      <c r="G965" s="359"/>
    </row>
    <row r="966" spans="2:7" ht="23">
      <c r="B966" s="19">
        <v>7</v>
      </c>
      <c r="C966" s="217" t="s">
        <v>65</v>
      </c>
      <c r="D966" s="217" t="s">
        <v>65</v>
      </c>
      <c r="E966" s="318"/>
      <c r="F966" s="319"/>
      <c r="G966" s="359"/>
    </row>
    <row r="967" spans="2:7" ht="34.5">
      <c r="B967" s="19">
        <v>8</v>
      </c>
      <c r="C967" s="217" t="s">
        <v>60</v>
      </c>
      <c r="D967" s="217" t="s">
        <v>60</v>
      </c>
      <c r="E967" s="157"/>
      <c r="F967" s="157"/>
      <c r="G967" s="359"/>
    </row>
    <row r="968" spans="2:7">
      <c r="B968" s="19">
        <v>9</v>
      </c>
      <c r="C968" s="361"/>
      <c r="D968" s="362"/>
      <c r="E968" s="157"/>
      <c r="F968" s="157"/>
      <c r="G968" s="359"/>
    </row>
    <row r="969" spans="2:7">
      <c r="B969" s="19">
        <v>10</v>
      </c>
      <c r="C969" s="361"/>
      <c r="D969" s="362"/>
      <c r="E969" s="157"/>
      <c r="F969" s="157"/>
      <c r="G969" s="359"/>
    </row>
    <row r="970" spans="2:7">
      <c r="B970" s="19">
        <v>11</v>
      </c>
      <c r="C970" s="361"/>
      <c r="D970" s="362"/>
      <c r="E970" s="157"/>
      <c r="F970" s="157"/>
      <c r="G970" s="359"/>
    </row>
    <row r="971" spans="2:7">
      <c r="B971" s="19">
        <v>12</v>
      </c>
      <c r="C971" s="361"/>
      <c r="D971" s="362"/>
      <c r="E971" s="157"/>
      <c r="F971" s="157"/>
      <c r="G971" s="359"/>
    </row>
    <row r="972" spans="2:7">
      <c r="B972" s="19">
        <v>13</v>
      </c>
      <c r="C972" s="361"/>
      <c r="D972" s="362"/>
      <c r="E972" s="157"/>
      <c r="F972" s="157"/>
      <c r="G972" s="359"/>
    </row>
    <row r="973" spans="2:7">
      <c r="B973" s="19">
        <v>14</v>
      </c>
      <c r="C973" s="361"/>
      <c r="D973" s="362"/>
      <c r="E973" s="157"/>
      <c r="F973" s="157"/>
      <c r="G973" s="359"/>
    </row>
    <row r="974" spans="2:7">
      <c r="B974" s="18">
        <v>15</v>
      </c>
      <c r="C974" s="363"/>
      <c r="D974" s="364"/>
      <c r="E974" s="158"/>
      <c r="F974" s="158"/>
      <c r="G974" s="360"/>
    </row>
    <row r="976" spans="2:7">
      <c r="C976" s="356" t="s">
        <v>43</v>
      </c>
      <c r="D976" s="357"/>
      <c r="E976" s="15" t="s">
        <v>44</v>
      </c>
      <c r="F976" s="15" t="s">
        <v>45</v>
      </c>
      <c r="G976" s="16" t="s">
        <v>46</v>
      </c>
    </row>
    <row r="977" spans="2:7" ht="31">
      <c r="B977" s="19" t="s">
        <v>49</v>
      </c>
      <c r="C977" s="475" t="s">
        <v>1812</v>
      </c>
      <c r="D977" s="228"/>
      <c r="E977" s="226" t="e">
        <f>SUM(E978:E981)</f>
        <v>#DIV/0!</v>
      </c>
      <c r="F977" s="227" t="e">
        <f>SUM(F978:F981)</f>
        <v>#DIV/0!</v>
      </c>
      <c r="G977" s="358"/>
    </row>
    <row r="978" spans="2:7" ht="34.5">
      <c r="B978" s="19">
        <v>1</v>
      </c>
      <c r="C978" s="215" t="s">
        <v>55</v>
      </c>
      <c r="D978" s="215" t="s">
        <v>55</v>
      </c>
      <c r="E978" s="288" t="e">
        <f>I978/$H$9</f>
        <v>#DIV/0!</v>
      </c>
      <c r="F978" s="288" t="e">
        <f>J978/$H$9</f>
        <v>#DIV/0!</v>
      </c>
      <c r="G978" s="359"/>
    </row>
    <row r="979" spans="2:7" ht="23">
      <c r="B979" s="19">
        <f>B978+1</f>
        <v>2</v>
      </c>
      <c r="C979" s="215" t="s">
        <v>1732</v>
      </c>
      <c r="D979" s="215" t="s">
        <v>1732</v>
      </c>
      <c r="E979" s="288" t="e">
        <f t="shared" ref="E979:E980" si="117">I979/$H$9</f>
        <v>#DIV/0!</v>
      </c>
      <c r="F979" s="288" t="e">
        <f t="shared" ref="F979:F980" si="118">J979/$H$9</f>
        <v>#DIV/0!</v>
      </c>
      <c r="G979" s="359"/>
    </row>
    <row r="980" spans="2:7" ht="23">
      <c r="B980" s="19">
        <f>B979+1</f>
        <v>3</v>
      </c>
      <c r="C980" s="220" t="s">
        <v>57</v>
      </c>
      <c r="D980" s="220" t="s">
        <v>57</v>
      </c>
      <c r="E980" s="288" t="e">
        <f t="shared" si="117"/>
        <v>#DIV/0!</v>
      </c>
      <c r="F980" s="288" t="e">
        <f t="shared" si="118"/>
        <v>#DIV/0!</v>
      </c>
      <c r="G980" s="359"/>
    </row>
    <row r="981" spans="2:7" ht="23">
      <c r="B981" s="19">
        <v>7</v>
      </c>
      <c r="C981" s="217" t="s">
        <v>65</v>
      </c>
      <c r="D981" s="217" t="s">
        <v>65</v>
      </c>
      <c r="E981" s="318"/>
      <c r="F981" s="319"/>
      <c r="G981" s="359"/>
    </row>
    <row r="982" spans="2:7" ht="34.5">
      <c r="B982" s="19">
        <v>8</v>
      </c>
      <c r="C982" s="217" t="s">
        <v>60</v>
      </c>
      <c r="D982" s="217" t="s">
        <v>60</v>
      </c>
      <c r="E982" s="157"/>
      <c r="F982" s="157"/>
      <c r="G982" s="359"/>
    </row>
    <row r="983" spans="2:7">
      <c r="B983" s="19">
        <v>9</v>
      </c>
      <c r="C983" s="361"/>
      <c r="D983" s="362"/>
      <c r="E983" s="157"/>
      <c r="F983" s="157"/>
      <c r="G983" s="359"/>
    </row>
    <row r="984" spans="2:7">
      <c r="B984" s="19">
        <v>10</v>
      </c>
      <c r="C984" s="361"/>
      <c r="D984" s="362"/>
      <c r="E984" s="157"/>
      <c r="F984" s="157"/>
      <c r="G984" s="359"/>
    </row>
    <row r="985" spans="2:7">
      <c r="B985" s="19">
        <v>11</v>
      </c>
      <c r="C985" s="361"/>
      <c r="D985" s="362"/>
      <c r="E985" s="157"/>
      <c r="F985" s="157"/>
      <c r="G985" s="359"/>
    </row>
    <row r="986" spans="2:7">
      <c r="B986" s="19">
        <v>12</v>
      </c>
      <c r="C986" s="361"/>
      <c r="D986" s="362"/>
      <c r="E986" s="157"/>
      <c r="F986" s="157"/>
      <c r="G986" s="359"/>
    </row>
    <row r="987" spans="2:7">
      <c r="B987" s="19">
        <v>13</v>
      </c>
      <c r="C987" s="361"/>
      <c r="D987" s="362"/>
      <c r="E987" s="157"/>
      <c r="F987" s="157"/>
      <c r="G987" s="359"/>
    </row>
    <row r="988" spans="2:7">
      <c r="B988" s="19">
        <v>14</v>
      </c>
      <c r="C988" s="361"/>
      <c r="D988" s="362"/>
      <c r="E988" s="157"/>
      <c r="F988" s="157"/>
      <c r="G988" s="359"/>
    </row>
    <row r="989" spans="2:7">
      <c r="B989" s="18">
        <v>15</v>
      </c>
      <c r="C989" s="363"/>
      <c r="D989" s="364"/>
      <c r="E989" s="158"/>
      <c r="F989" s="158"/>
      <c r="G989" s="360"/>
    </row>
    <row r="991" spans="2:7">
      <c r="C991" s="356" t="s">
        <v>43</v>
      </c>
      <c r="D991" s="357"/>
      <c r="E991" s="15" t="s">
        <v>44</v>
      </c>
      <c r="F991" s="15" t="s">
        <v>45</v>
      </c>
      <c r="G991" s="16" t="s">
        <v>46</v>
      </c>
    </row>
    <row r="992" spans="2:7">
      <c r="B992" s="19" t="s">
        <v>49</v>
      </c>
      <c r="C992" s="14" t="s">
        <v>1728</v>
      </c>
      <c r="D992" s="228"/>
      <c r="E992" s="226" t="e">
        <f>SUM(E993:E996)</f>
        <v>#DIV/0!</v>
      </c>
      <c r="F992" s="227" t="e">
        <f>SUM(F993:F996)</f>
        <v>#DIV/0!</v>
      </c>
      <c r="G992" s="358"/>
    </row>
    <row r="993" spans="2:7" ht="34.5">
      <c r="B993" s="19">
        <v>1</v>
      </c>
      <c r="C993" s="215" t="s">
        <v>55</v>
      </c>
      <c r="D993" s="215" t="s">
        <v>55</v>
      </c>
      <c r="E993" s="288" t="e">
        <f>I993/$H$9</f>
        <v>#DIV/0!</v>
      </c>
      <c r="F993" s="288" t="e">
        <f>J993/$H$9</f>
        <v>#DIV/0!</v>
      </c>
      <c r="G993" s="359"/>
    </row>
    <row r="994" spans="2:7" ht="23">
      <c r="B994" s="19">
        <f>B993+1</f>
        <v>2</v>
      </c>
      <c r="C994" s="215" t="s">
        <v>1732</v>
      </c>
      <c r="D994" s="215" t="s">
        <v>1732</v>
      </c>
      <c r="E994" s="288" t="e">
        <f t="shared" ref="E994:E995" si="119">I994/$H$9</f>
        <v>#DIV/0!</v>
      </c>
      <c r="F994" s="288" t="e">
        <f t="shared" ref="F994:F995" si="120">J994/$H$9</f>
        <v>#DIV/0!</v>
      </c>
      <c r="G994" s="359"/>
    </row>
    <row r="995" spans="2:7" ht="23">
      <c r="B995" s="19">
        <f>B994+1</f>
        <v>3</v>
      </c>
      <c r="C995" s="220" t="s">
        <v>57</v>
      </c>
      <c r="D995" s="220" t="s">
        <v>57</v>
      </c>
      <c r="E995" s="288" t="e">
        <f t="shared" si="119"/>
        <v>#DIV/0!</v>
      </c>
      <c r="F995" s="288" t="e">
        <f t="shared" si="120"/>
        <v>#DIV/0!</v>
      </c>
      <c r="G995" s="359"/>
    </row>
    <row r="996" spans="2:7" ht="23">
      <c r="B996" s="19">
        <v>7</v>
      </c>
      <c r="C996" s="217" t="s">
        <v>65</v>
      </c>
      <c r="D996" s="217" t="s">
        <v>65</v>
      </c>
      <c r="E996" s="318"/>
      <c r="F996" s="319"/>
      <c r="G996" s="359"/>
    </row>
    <row r="997" spans="2:7" ht="34.5">
      <c r="B997" s="19">
        <v>8</v>
      </c>
      <c r="C997" s="217" t="s">
        <v>60</v>
      </c>
      <c r="D997" s="217" t="s">
        <v>60</v>
      </c>
      <c r="E997" s="157"/>
      <c r="F997" s="157"/>
      <c r="G997" s="359"/>
    </row>
    <row r="998" spans="2:7">
      <c r="B998" s="19">
        <v>9</v>
      </c>
      <c r="C998" s="361"/>
      <c r="D998" s="362"/>
      <c r="E998" s="157"/>
      <c r="F998" s="157"/>
      <c r="G998" s="359"/>
    </row>
    <row r="999" spans="2:7">
      <c r="B999" s="19">
        <v>10</v>
      </c>
      <c r="C999" s="361"/>
      <c r="D999" s="362"/>
      <c r="E999" s="157"/>
      <c r="F999" s="157"/>
      <c r="G999" s="359"/>
    </row>
    <row r="1000" spans="2:7">
      <c r="B1000" s="19">
        <v>11</v>
      </c>
      <c r="C1000" s="361"/>
      <c r="D1000" s="362"/>
      <c r="E1000" s="157"/>
      <c r="F1000" s="157"/>
      <c r="G1000" s="359"/>
    </row>
    <row r="1001" spans="2:7">
      <c r="B1001" s="19">
        <v>12</v>
      </c>
      <c r="C1001" s="361"/>
      <c r="D1001" s="362"/>
      <c r="E1001" s="157"/>
      <c r="F1001" s="157"/>
      <c r="G1001" s="359"/>
    </row>
    <row r="1002" spans="2:7">
      <c r="B1002" s="19">
        <v>13</v>
      </c>
      <c r="C1002" s="361"/>
      <c r="D1002" s="362"/>
      <c r="E1002" s="157"/>
      <c r="F1002" s="157"/>
      <c r="G1002" s="359"/>
    </row>
    <row r="1003" spans="2:7">
      <c r="B1003" s="19">
        <v>14</v>
      </c>
      <c r="C1003" s="361"/>
      <c r="D1003" s="362"/>
      <c r="E1003" s="157"/>
      <c r="F1003" s="157"/>
      <c r="G1003" s="359"/>
    </row>
    <row r="1004" spans="2:7">
      <c r="B1004" s="18">
        <v>15</v>
      </c>
      <c r="C1004" s="363"/>
      <c r="D1004" s="364"/>
      <c r="E1004" s="158"/>
      <c r="F1004" s="158"/>
      <c r="G1004" s="360"/>
    </row>
    <row r="1006" spans="2:7">
      <c r="C1006" s="356" t="s">
        <v>43</v>
      </c>
      <c r="D1006" s="357"/>
      <c r="E1006" s="15" t="s">
        <v>44</v>
      </c>
      <c r="F1006" s="15" t="s">
        <v>45</v>
      </c>
      <c r="G1006" s="16" t="s">
        <v>46</v>
      </c>
    </row>
    <row r="1007" spans="2:7">
      <c r="B1007" s="19" t="s">
        <v>49</v>
      </c>
      <c r="C1007" s="445" t="s">
        <v>1813</v>
      </c>
      <c r="D1007" s="228"/>
      <c r="E1007" s="226" t="e">
        <f>SUM(E1008:E1011)</f>
        <v>#DIV/0!</v>
      </c>
      <c r="F1007" s="227" t="e">
        <f>SUM(F1008:F1011)</f>
        <v>#DIV/0!</v>
      </c>
      <c r="G1007" s="437" t="s">
        <v>1815</v>
      </c>
    </row>
    <row r="1008" spans="2:7" ht="34.5">
      <c r="B1008" s="19">
        <v>1</v>
      </c>
      <c r="C1008" s="215" t="s">
        <v>55</v>
      </c>
      <c r="D1008" s="215" t="s">
        <v>55</v>
      </c>
      <c r="E1008" s="288" t="e">
        <f>I1008/$H$9</f>
        <v>#DIV/0!</v>
      </c>
      <c r="F1008" s="288" t="e">
        <f>J1008/$H$9</f>
        <v>#DIV/0!</v>
      </c>
      <c r="G1008" s="438"/>
    </row>
    <row r="1009" spans="2:7" ht="23">
      <c r="B1009" s="19">
        <f>B1008+1</f>
        <v>2</v>
      </c>
      <c r="C1009" s="215" t="s">
        <v>1732</v>
      </c>
      <c r="D1009" s="215" t="s">
        <v>1732</v>
      </c>
      <c r="E1009" s="288" t="e">
        <f t="shared" ref="E1009:E1010" si="121">I1009/$H$9</f>
        <v>#DIV/0!</v>
      </c>
      <c r="F1009" s="288" t="e">
        <f t="shared" ref="F1009:F1010" si="122">J1009/$H$9</f>
        <v>#DIV/0!</v>
      </c>
      <c r="G1009" s="438"/>
    </row>
    <row r="1010" spans="2:7" ht="23">
      <c r="B1010" s="19">
        <f>B1009+1</f>
        <v>3</v>
      </c>
      <c r="C1010" s="220" t="s">
        <v>57</v>
      </c>
      <c r="D1010" s="220" t="s">
        <v>57</v>
      </c>
      <c r="E1010" s="288" t="e">
        <f t="shared" si="121"/>
        <v>#DIV/0!</v>
      </c>
      <c r="F1010" s="288" t="e">
        <f t="shared" si="122"/>
        <v>#DIV/0!</v>
      </c>
      <c r="G1010" s="438"/>
    </row>
    <row r="1011" spans="2:7" ht="23">
      <c r="B1011" s="19">
        <v>7</v>
      </c>
      <c r="C1011" s="217" t="s">
        <v>65</v>
      </c>
      <c r="D1011" s="217" t="s">
        <v>65</v>
      </c>
      <c r="E1011" s="318"/>
      <c r="F1011" s="319"/>
      <c r="G1011" s="438"/>
    </row>
    <row r="1012" spans="2:7" ht="34.5">
      <c r="B1012" s="19">
        <v>8</v>
      </c>
      <c r="C1012" s="217" t="s">
        <v>60</v>
      </c>
      <c r="D1012" s="217" t="s">
        <v>60</v>
      </c>
      <c r="E1012" s="157"/>
      <c r="F1012" s="157"/>
      <c r="G1012" s="438"/>
    </row>
    <row r="1013" spans="2:7">
      <c r="B1013" s="19">
        <v>9</v>
      </c>
      <c r="C1013" s="361"/>
      <c r="D1013" s="362"/>
      <c r="E1013" s="157"/>
      <c r="F1013" s="157"/>
      <c r="G1013" s="438"/>
    </row>
    <row r="1014" spans="2:7">
      <c r="B1014" s="19">
        <v>10</v>
      </c>
      <c r="C1014" s="361"/>
      <c r="D1014" s="362"/>
      <c r="E1014" s="157"/>
      <c r="F1014" s="157"/>
      <c r="G1014" s="438"/>
    </row>
    <row r="1015" spans="2:7">
      <c r="B1015" s="19">
        <v>11</v>
      </c>
      <c r="C1015" s="361"/>
      <c r="D1015" s="362"/>
      <c r="E1015" s="157"/>
      <c r="F1015" s="157"/>
      <c r="G1015" s="438"/>
    </row>
    <row r="1016" spans="2:7">
      <c r="B1016" s="19">
        <v>12</v>
      </c>
      <c r="C1016" s="361"/>
      <c r="D1016" s="362"/>
      <c r="E1016" s="157"/>
      <c r="F1016" s="157"/>
      <c r="G1016" s="438"/>
    </row>
    <row r="1017" spans="2:7">
      <c r="B1017" s="19">
        <v>13</v>
      </c>
      <c r="C1017" s="361"/>
      <c r="D1017" s="362"/>
      <c r="E1017" s="157"/>
      <c r="F1017" s="157"/>
      <c r="G1017" s="438"/>
    </row>
    <row r="1018" spans="2:7">
      <c r="B1018" s="19">
        <v>14</v>
      </c>
      <c r="C1018" s="361"/>
      <c r="D1018" s="362"/>
      <c r="E1018" s="157"/>
      <c r="F1018" s="157"/>
      <c r="G1018" s="438"/>
    </row>
    <row r="1019" spans="2:7">
      <c r="B1019" s="18">
        <v>15</v>
      </c>
      <c r="C1019" s="363"/>
      <c r="D1019" s="364"/>
      <c r="E1019" s="158"/>
      <c r="F1019" s="158"/>
      <c r="G1019" s="439"/>
    </row>
    <row r="1021" spans="2:7">
      <c r="C1021" s="356" t="s">
        <v>43</v>
      </c>
      <c r="D1021" s="357"/>
      <c r="E1021" s="15" t="s">
        <v>44</v>
      </c>
      <c r="F1021" s="15" t="s">
        <v>45</v>
      </c>
      <c r="G1021" s="16" t="s">
        <v>46</v>
      </c>
    </row>
    <row r="1022" spans="2:7">
      <c r="B1022" s="19" t="s">
        <v>49</v>
      </c>
      <c r="C1022" s="445" t="s">
        <v>1814</v>
      </c>
      <c r="D1022" s="228"/>
      <c r="E1022" s="226" t="e">
        <f>SUM(E1023:E1026)</f>
        <v>#DIV/0!</v>
      </c>
      <c r="F1022" s="227" t="e">
        <f>SUM(F1023:F1026)</f>
        <v>#DIV/0!</v>
      </c>
      <c r="G1022" s="437" t="s">
        <v>1816</v>
      </c>
    </row>
    <row r="1023" spans="2:7" ht="34.5">
      <c r="B1023" s="19">
        <v>1</v>
      </c>
      <c r="C1023" s="215" t="s">
        <v>55</v>
      </c>
      <c r="D1023" s="215" t="s">
        <v>55</v>
      </c>
      <c r="E1023" s="288" t="e">
        <f>I1023/$H$9</f>
        <v>#DIV/0!</v>
      </c>
      <c r="F1023" s="288" t="e">
        <f>J1023/$H$9</f>
        <v>#DIV/0!</v>
      </c>
      <c r="G1023" s="448"/>
    </row>
    <row r="1024" spans="2:7" ht="23">
      <c r="B1024" s="19">
        <f>B1023+1</f>
        <v>2</v>
      </c>
      <c r="C1024" s="215" t="s">
        <v>1732</v>
      </c>
      <c r="D1024" s="215" t="s">
        <v>1732</v>
      </c>
      <c r="E1024" s="288" t="e">
        <f t="shared" ref="E1024:E1025" si="123">I1024/$H$9</f>
        <v>#DIV/0!</v>
      </c>
      <c r="F1024" s="288" t="e">
        <f t="shared" ref="F1024:F1025" si="124">J1024/$H$9</f>
        <v>#DIV/0!</v>
      </c>
      <c r="G1024" s="448"/>
    </row>
    <row r="1025" spans="2:7" ht="23">
      <c r="B1025" s="19">
        <f>B1024+1</f>
        <v>3</v>
      </c>
      <c r="C1025" s="220" t="s">
        <v>57</v>
      </c>
      <c r="D1025" s="220" t="s">
        <v>57</v>
      </c>
      <c r="E1025" s="288" t="e">
        <f t="shared" si="123"/>
        <v>#DIV/0!</v>
      </c>
      <c r="F1025" s="288" t="e">
        <f t="shared" si="124"/>
        <v>#DIV/0!</v>
      </c>
      <c r="G1025" s="448"/>
    </row>
    <row r="1026" spans="2:7" ht="23">
      <c r="B1026" s="19">
        <v>7</v>
      </c>
      <c r="C1026" s="217" t="s">
        <v>65</v>
      </c>
      <c r="D1026" s="217" t="s">
        <v>65</v>
      </c>
      <c r="E1026" s="318"/>
      <c r="F1026" s="319"/>
      <c r="G1026" s="448"/>
    </row>
    <row r="1027" spans="2:7" ht="34.5">
      <c r="B1027" s="19">
        <v>8</v>
      </c>
      <c r="C1027" s="217" t="s">
        <v>60</v>
      </c>
      <c r="D1027" s="217" t="s">
        <v>60</v>
      </c>
      <c r="E1027" s="157"/>
      <c r="F1027" s="157"/>
      <c r="G1027" s="448"/>
    </row>
    <row r="1028" spans="2:7">
      <c r="B1028" s="19">
        <v>9</v>
      </c>
      <c r="C1028" s="446"/>
      <c r="D1028" s="447"/>
      <c r="E1028" s="157"/>
      <c r="F1028" s="157"/>
      <c r="G1028" s="448"/>
    </row>
    <row r="1029" spans="2:7">
      <c r="B1029" s="19">
        <v>10</v>
      </c>
      <c r="C1029" s="361"/>
      <c r="D1029" s="362"/>
      <c r="E1029" s="157"/>
      <c r="F1029" s="157"/>
      <c r="G1029" s="448"/>
    </row>
    <row r="1030" spans="2:7">
      <c r="B1030" s="19">
        <v>11</v>
      </c>
      <c r="C1030" s="361"/>
      <c r="D1030" s="362"/>
      <c r="E1030" s="157"/>
      <c r="F1030" s="157"/>
      <c r="G1030" s="448"/>
    </row>
    <row r="1031" spans="2:7">
      <c r="B1031" s="19">
        <v>12</v>
      </c>
      <c r="C1031" s="361"/>
      <c r="D1031" s="362"/>
      <c r="E1031" s="157"/>
      <c r="F1031" s="157"/>
      <c r="G1031" s="448"/>
    </row>
    <row r="1032" spans="2:7">
      <c r="B1032" s="19">
        <v>13</v>
      </c>
      <c r="C1032" s="361"/>
      <c r="D1032" s="362"/>
      <c r="E1032" s="157"/>
      <c r="F1032" s="157"/>
      <c r="G1032" s="448"/>
    </row>
    <row r="1033" spans="2:7">
      <c r="B1033" s="19">
        <v>14</v>
      </c>
      <c r="C1033" s="361"/>
      <c r="D1033" s="362"/>
      <c r="E1033" s="157"/>
      <c r="F1033" s="157"/>
      <c r="G1033" s="448"/>
    </row>
    <row r="1034" spans="2:7">
      <c r="B1034" s="18">
        <v>15</v>
      </c>
      <c r="C1034" s="363"/>
      <c r="D1034" s="364"/>
      <c r="E1034" s="158"/>
      <c r="F1034" s="158"/>
      <c r="G1034" s="449"/>
    </row>
    <row r="1036" spans="2:7">
      <c r="C1036" s="356" t="s">
        <v>43</v>
      </c>
      <c r="D1036" s="357"/>
      <c r="E1036" s="15" t="s">
        <v>44</v>
      </c>
      <c r="F1036" s="15" t="s">
        <v>45</v>
      </c>
      <c r="G1036" s="16" t="s">
        <v>46</v>
      </c>
    </row>
    <row r="1037" spans="2:7">
      <c r="B1037" s="19" t="s">
        <v>49</v>
      </c>
      <c r="C1037" s="445" t="s">
        <v>1831</v>
      </c>
      <c r="D1037" s="228"/>
      <c r="E1037" s="226" t="e">
        <f>SUM(E1038:E1041)</f>
        <v>#DIV/0!</v>
      </c>
      <c r="F1037" s="227" t="e">
        <f>SUM(F1038:F1041)</f>
        <v>#DIV/0!</v>
      </c>
      <c r="G1037" s="437"/>
    </row>
    <row r="1038" spans="2:7" ht="34.5">
      <c r="B1038" s="19">
        <v>1</v>
      </c>
      <c r="C1038" s="215" t="s">
        <v>55</v>
      </c>
      <c r="D1038" s="215" t="s">
        <v>55</v>
      </c>
      <c r="E1038" s="288" t="e">
        <f>I1038/$H$9</f>
        <v>#DIV/0!</v>
      </c>
      <c r="F1038" s="288" t="e">
        <f>J1038/$H$9</f>
        <v>#DIV/0!</v>
      </c>
      <c r="G1038" s="448"/>
    </row>
    <row r="1039" spans="2:7" ht="23">
      <c r="B1039" s="19">
        <f>B1038+1</f>
        <v>2</v>
      </c>
      <c r="C1039" s="215" t="s">
        <v>1732</v>
      </c>
      <c r="D1039" s="215" t="s">
        <v>1732</v>
      </c>
      <c r="E1039" s="288" t="e">
        <f t="shared" ref="E1039:E1040" si="125">I1039/$H$9</f>
        <v>#DIV/0!</v>
      </c>
      <c r="F1039" s="288" t="e">
        <f t="shared" ref="F1039:F1040" si="126">J1039/$H$9</f>
        <v>#DIV/0!</v>
      </c>
      <c r="G1039" s="448"/>
    </row>
    <row r="1040" spans="2:7" ht="23">
      <c r="B1040" s="19">
        <f>B1039+1</f>
        <v>3</v>
      </c>
      <c r="C1040" s="220" t="s">
        <v>57</v>
      </c>
      <c r="D1040" s="220" t="s">
        <v>57</v>
      </c>
      <c r="E1040" s="288" t="e">
        <f t="shared" si="125"/>
        <v>#DIV/0!</v>
      </c>
      <c r="F1040" s="288" t="e">
        <f t="shared" si="126"/>
        <v>#DIV/0!</v>
      </c>
      <c r="G1040" s="448"/>
    </row>
    <row r="1041" spans="2:7" ht="23">
      <c r="B1041" s="19">
        <v>7</v>
      </c>
      <c r="C1041" s="217" t="s">
        <v>65</v>
      </c>
      <c r="D1041" s="217" t="s">
        <v>65</v>
      </c>
      <c r="E1041" s="318"/>
      <c r="F1041" s="319"/>
      <c r="G1041" s="448"/>
    </row>
    <row r="1042" spans="2:7" ht="34.5">
      <c r="B1042" s="19">
        <v>8</v>
      </c>
      <c r="C1042" s="217" t="s">
        <v>60</v>
      </c>
      <c r="D1042" s="217" t="s">
        <v>60</v>
      </c>
      <c r="E1042" s="157"/>
      <c r="F1042" s="157"/>
      <c r="G1042" s="448"/>
    </row>
    <row r="1043" spans="2:7">
      <c r="B1043" s="19">
        <v>9</v>
      </c>
      <c r="C1043" s="446"/>
      <c r="D1043" s="447"/>
      <c r="E1043" s="157"/>
      <c r="F1043" s="157"/>
      <c r="G1043" s="448"/>
    </row>
    <row r="1044" spans="2:7">
      <c r="B1044" s="19">
        <v>10</v>
      </c>
      <c r="C1044" s="361"/>
      <c r="D1044" s="362"/>
      <c r="E1044" s="157"/>
      <c r="F1044" s="157"/>
      <c r="G1044" s="448"/>
    </row>
    <row r="1045" spans="2:7">
      <c r="B1045" s="19">
        <v>11</v>
      </c>
      <c r="C1045" s="361"/>
      <c r="D1045" s="362"/>
      <c r="E1045" s="157"/>
      <c r="F1045" s="157"/>
      <c r="G1045" s="448"/>
    </row>
    <row r="1046" spans="2:7">
      <c r="B1046" s="19">
        <v>12</v>
      </c>
      <c r="C1046" s="361"/>
      <c r="D1046" s="362"/>
      <c r="E1046" s="157"/>
      <c r="F1046" s="157"/>
      <c r="G1046" s="448"/>
    </row>
    <row r="1047" spans="2:7">
      <c r="B1047" s="19">
        <v>13</v>
      </c>
      <c r="C1047" s="361"/>
      <c r="D1047" s="362"/>
      <c r="E1047" s="157"/>
      <c r="F1047" s="157"/>
      <c r="G1047" s="448"/>
    </row>
    <row r="1048" spans="2:7">
      <c r="B1048" s="19">
        <v>14</v>
      </c>
      <c r="C1048" s="361"/>
      <c r="D1048" s="362"/>
      <c r="E1048" s="157"/>
      <c r="F1048" s="157"/>
      <c r="G1048" s="448"/>
    </row>
    <row r="1049" spans="2:7">
      <c r="B1049" s="18">
        <v>15</v>
      </c>
      <c r="C1049" s="363"/>
      <c r="D1049" s="364"/>
      <c r="E1049" s="158"/>
      <c r="F1049" s="158"/>
      <c r="G1049" s="449"/>
    </row>
  </sheetData>
  <dataConsolidate/>
  <mergeCells count="518">
    <mergeCell ref="C1036:D1036"/>
    <mergeCell ref="G1037:G1049"/>
    <mergeCell ref="C1043:D1043"/>
    <mergeCell ref="C1044:D1044"/>
    <mergeCell ref="C1045:D1045"/>
    <mergeCell ref="C1046:D1046"/>
    <mergeCell ref="C1047:D1047"/>
    <mergeCell ref="C1048:D1048"/>
    <mergeCell ref="C1049:D1049"/>
    <mergeCell ref="C1021:D1021"/>
    <mergeCell ref="G1022:G1034"/>
    <mergeCell ref="C1028:D1028"/>
    <mergeCell ref="C1029:D1029"/>
    <mergeCell ref="C1030:D1030"/>
    <mergeCell ref="C1031:D1031"/>
    <mergeCell ref="C1032:D1032"/>
    <mergeCell ref="C1033:D1033"/>
    <mergeCell ref="C1034:D1034"/>
    <mergeCell ref="C1006:D1006"/>
    <mergeCell ref="G1007:G1019"/>
    <mergeCell ref="C1013:D1013"/>
    <mergeCell ref="C1014:D1014"/>
    <mergeCell ref="C1015:D1015"/>
    <mergeCell ref="C1016:D1016"/>
    <mergeCell ref="C1017:D1017"/>
    <mergeCell ref="C1018:D1018"/>
    <mergeCell ref="C1019:D1019"/>
    <mergeCell ref="C991:D991"/>
    <mergeCell ref="G992:G1004"/>
    <mergeCell ref="C998:D998"/>
    <mergeCell ref="C999:D999"/>
    <mergeCell ref="C1000:D1000"/>
    <mergeCell ref="C1001:D1001"/>
    <mergeCell ref="C1002:D1002"/>
    <mergeCell ref="C1003:D1003"/>
    <mergeCell ref="C1004:D1004"/>
    <mergeCell ref="C976:D976"/>
    <mergeCell ref="G977:G989"/>
    <mergeCell ref="C983:D983"/>
    <mergeCell ref="C984:D984"/>
    <mergeCell ref="C985:D985"/>
    <mergeCell ref="C986:D986"/>
    <mergeCell ref="C987:D987"/>
    <mergeCell ref="C988:D988"/>
    <mergeCell ref="C989:D989"/>
    <mergeCell ref="C961:D961"/>
    <mergeCell ref="G962:G974"/>
    <mergeCell ref="C968:D968"/>
    <mergeCell ref="C969:D969"/>
    <mergeCell ref="C970:D970"/>
    <mergeCell ref="C971:D971"/>
    <mergeCell ref="C972:D972"/>
    <mergeCell ref="C973:D973"/>
    <mergeCell ref="C974:D974"/>
    <mergeCell ref="C946:D946"/>
    <mergeCell ref="G947:G959"/>
    <mergeCell ref="C953:D953"/>
    <mergeCell ref="C954:D954"/>
    <mergeCell ref="C955:D955"/>
    <mergeCell ref="C956:D956"/>
    <mergeCell ref="C957:D957"/>
    <mergeCell ref="C958:D958"/>
    <mergeCell ref="C959:D959"/>
    <mergeCell ref="C931:D931"/>
    <mergeCell ref="G932:G944"/>
    <mergeCell ref="C938:D938"/>
    <mergeCell ref="C939:D939"/>
    <mergeCell ref="C940:D940"/>
    <mergeCell ref="C941:D941"/>
    <mergeCell ref="C942:D942"/>
    <mergeCell ref="C943:D943"/>
    <mergeCell ref="C944:D944"/>
    <mergeCell ref="C916:D916"/>
    <mergeCell ref="G917:G929"/>
    <mergeCell ref="C923:D923"/>
    <mergeCell ref="C924:D924"/>
    <mergeCell ref="C925:D925"/>
    <mergeCell ref="C926:D926"/>
    <mergeCell ref="C927:D927"/>
    <mergeCell ref="C928:D928"/>
    <mergeCell ref="C929:D929"/>
    <mergeCell ref="C901:D901"/>
    <mergeCell ref="G902:G914"/>
    <mergeCell ref="C908:D908"/>
    <mergeCell ref="C909:D909"/>
    <mergeCell ref="C910:D910"/>
    <mergeCell ref="C911:D911"/>
    <mergeCell ref="C912:D912"/>
    <mergeCell ref="C913:D913"/>
    <mergeCell ref="C914:D914"/>
    <mergeCell ref="C886:D886"/>
    <mergeCell ref="G887:G899"/>
    <mergeCell ref="C893:D893"/>
    <mergeCell ref="C894:D894"/>
    <mergeCell ref="C895:D895"/>
    <mergeCell ref="C896:D896"/>
    <mergeCell ref="C897:D897"/>
    <mergeCell ref="C898:D898"/>
    <mergeCell ref="C899:D899"/>
    <mergeCell ref="C871:D871"/>
    <mergeCell ref="G872:G884"/>
    <mergeCell ref="C878:D878"/>
    <mergeCell ref="C879:D879"/>
    <mergeCell ref="C880:D880"/>
    <mergeCell ref="C881:D881"/>
    <mergeCell ref="C882:D882"/>
    <mergeCell ref="C883:D883"/>
    <mergeCell ref="C884:D884"/>
    <mergeCell ref="C714:D714"/>
    <mergeCell ref="G715:G730"/>
    <mergeCell ref="C724:D724"/>
    <mergeCell ref="C725:D725"/>
    <mergeCell ref="C726:D726"/>
    <mergeCell ref="C727:D727"/>
    <mergeCell ref="C728:D728"/>
    <mergeCell ref="C729:D729"/>
    <mergeCell ref="C730:D730"/>
    <mergeCell ref="C61:D61"/>
    <mergeCell ref="G62:G77"/>
    <mergeCell ref="C71:D71"/>
    <mergeCell ref="C72:D72"/>
    <mergeCell ref="C73:D73"/>
    <mergeCell ref="C74:D74"/>
    <mergeCell ref="C75:D75"/>
    <mergeCell ref="C76:D76"/>
    <mergeCell ref="C77:D77"/>
    <mergeCell ref="C43:D43"/>
    <mergeCell ref="G44:G59"/>
    <mergeCell ref="C53:D53"/>
    <mergeCell ref="C54:D54"/>
    <mergeCell ref="C55:D55"/>
    <mergeCell ref="C56:D56"/>
    <mergeCell ref="C57:D57"/>
    <mergeCell ref="C58:D58"/>
    <mergeCell ref="C59:D59"/>
    <mergeCell ref="C25:D25"/>
    <mergeCell ref="G26:G41"/>
    <mergeCell ref="C35:D35"/>
    <mergeCell ref="C36:D36"/>
    <mergeCell ref="C37:D37"/>
    <mergeCell ref="C38:D38"/>
    <mergeCell ref="C39:D39"/>
    <mergeCell ref="C40:D40"/>
    <mergeCell ref="C41:D41"/>
    <mergeCell ref="C856:D856"/>
    <mergeCell ref="G857:G869"/>
    <mergeCell ref="C863:D863"/>
    <mergeCell ref="C864:D864"/>
    <mergeCell ref="C865:D865"/>
    <mergeCell ref="C866:D866"/>
    <mergeCell ref="C867:D867"/>
    <mergeCell ref="C868:D868"/>
    <mergeCell ref="C869:D869"/>
    <mergeCell ref="C840:D840"/>
    <mergeCell ref="G841:G854"/>
    <mergeCell ref="C848:D848"/>
    <mergeCell ref="C849:D849"/>
    <mergeCell ref="C850:D850"/>
    <mergeCell ref="C851:D851"/>
    <mergeCell ref="C852:D852"/>
    <mergeCell ref="C853:D853"/>
    <mergeCell ref="C854:D854"/>
    <mergeCell ref="C822:D822"/>
    <mergeCell ref="G823:G838"/>
    <mergeCell ref="C832:D832"/>
    <mergeCell ref="C833:D833"/>
    <mergeCell ref="C834:D834"/>
    <mergeCell ref="C835:D835"/>
    <mergeCell ref="C836:D836"/>
    <mergeCell ref="C837:D837"/>
    <mergeCell ref="C838:D838"/>
    <mergeCell ref="C804:D804"/>
    <mergeCell ref="G805:G820"/>
    <mergeCell ref="C814:D814"/>
    <mergeCell ref="C815:D815"/>
    <mergeCell ref="C816:D816"/>
    <mergeCell ref="C817:D817"/>
    <mergeCell ref="C818:D818"/>
    <mergeCell ref="C819:D819"/>
    <mergeCell ref="C820:D820"/>
    <mergeCell ref="C786:D786"/>
    <mergeCell ref="G787:G802"/>
    <mergeCell ref="C796:D796"/>
    <mergeCell ref="C797:D797"/>
    <mergeCell ref="C798:D798"/>
    <mergeCell ref="C799:D799"/>
    <mergeCell ref="C800:D800"/>
    <mergeCell ref="C801:D801"/>
    <mergeCell ref="C802:D802"/>
    <mergeCell ref="C768:D768"/>
    <mergeCell ref="G769:G784"/>
    <mergeCell ref="C778:D778"/>
    <mergeCell ref="C779:D779"/>
    <mergeCell ref="C780:D780"/>
    <mergeCell ref="C781:D781"/>
    <mergeCell ref="C782:D782"/>
    <mergeCell ref="C783:D783"/>
    <mergeCell ref="C784:D784"/>
    <mergeCell ref="C750:D750"/>
    <mergeCell ref="G751:G766"/>
    <mergeCell ref="C760:D760"/>
    <mergeCell ref="C761:D761"/>
    <mergeCell ref="C762:D762"/>
    <mergeCell ref="C763:D763"/>
    <mergeCell ref="C764:D764"/>
    <mergeCell ref="C765:D765"/>
    <mergeCell ref="C766:D766"/>
    <mergeCell ref="C732:D732"/>
    <mergeCell ref="G733:G748"/>
    <mergeCell ref="C742:D742"/>
    <mergeCell ref="C743:D743"/>
    <mergeCell ref="C744:D744"/>
    <mergeCell ref="C745:D745"/>
    <mergeCell ref="C746:D746"/>
    <mergeCell ref="C747:D747"/>
    <mergeCell ref="C748:D748"/>
    <mergeCell ref="C696:D696"/>
    <mergeCell ref="G697:G712"/>
    <mergeCell ref="C706:D706"/>
    <mergeCell ref="C707:D707"/>
    <mergeCell ref="C708:D708"/>
    <mergeCell ref="C709:D709"/>
    <mergeCell ref="C710:D710"/>
    <mergeCell ref="C711:D711"/>
    <mergeCell ref="C712:D712"/>
    <mergeCell ref="C678:D678"/>
    <mergeCell ref="G679:G694"/>
    <mergeCell ref="C688:D688"/>
    <mergeCell ref="C689:D689"/>
    <mergeCell ref="C690:D690"/>
    <mergeCell ref="C691:D691"/>
    <mergeCell ref="C692:D692"/>
    <mergeCell ref="C693:D693"/>
    <mergeCell ref="C694:D694"/>
    <mergeCell ref="C660:D660"/>
    <mergeCell ref="G661:G676"/>
    <mergeCell ref="C670:D670"/>
    <mergeCell ref="C671:D671"/>
    <mergeCell ref="C672:D672"/>
    <mergeCell ref="C673:D673"/>
    <mergeCell ref="C674:D674"/>
    <mergeCell ref="C675:D675"/>
    <mergeCell ref="C676:D676"/>
    <mergeCell ref="C642:D642"/>
    <mergeCell ref="G643:G658"/>
    <mergeCell ref="C652:D652"/>
    <mergeCell ref="C653:D653"/>
    <mergeCell ref="C654:D654"/>
    <mergeCell ref="C655:D655"/>
    <mergeCell ref="C656:D656"/>
    <mergeCell ref="C657:D657"/>
    <mergeCell ref="C658:D658"/>
    <mergeCell ref="C624:D624"/>
    <mergeCell ref="G625:G640"/>
    <mergeCell ref="C634:D634"/>
    <mergeCell ref="C635:D635"/>
    <mergeCell ref="C636:D636"/>
    <mergeCell ref="C637:D637"/>
    <mergeCell ref="C638:D638"/>
    <mergeCell ref="C639:D639"/>
    <mergeCell ref="C640:D640"/>
    <mergeCell ref="C606:D606"/>
    <mergeCell ref="G607:G622"/>
    <mergeCell ref="C616:D616"/>
    <mergeCell ref="C617:D617"/>
    <mergeCell ref="C618:D618"/>
    <mergeCell ref="C619:D619"/>
    <mergeCell ref="C620:D620"/>
    <mergeCell ref="C621:D621"/>
    <mergeCell ref="C622:D622"/>
    <mergeCell ref="C588:D588"/>
    <mergeCell ref="G589:G604"/>
    <mergeCell ref="C598:D598"/>
    <mergeCell ref="C599:D599"/>
    <mergeCell ref="C600:D600"/>
    <mergeCell ref="C601:D601"/>
    <mergeCell ref="C602:D602"/>
    <mergeCell ref="C603:D603"/>
    <mergeCell ref="C604:D604"/>
    <mergeCell ref="C570:D570"/>
    <mergeCell ref="G571:G586"/>
    <mergeCell ref="C580:D580"/>
    <mergeCell ref="C581:D581"/>
    <mergeCell ref="C582:D582"/>
    <mergeCell ref="C583:D583"/>
    <mergeCell ref="C584:D584"/>
    <mergeCell ref="C585:D585"/>
    <mergeCell ref="C586:D586"/>
    <mergeCell ref="C552:D552"/>
    <mergeCell ref="G553:G568"/>
    <mergeCell ref="C562:D562"/>
    <mergeCell ref="C563:D563"/>
    <mergeCell ref="C564:D564"/>
    <mergeCell ref="C565:D565"/>
    <mergeCell ref="C566:D566"/>
    <mergeCell ref="C567:D567"/>
    <mergeCell ref="C568:D568"/>
    <mergeCell ref="C534:D534"/>
    <mergeCell ref="G535:G550"/>
    <mergeCell ref="C544:D544"/>
    <mergeCell ref="C545:D545"/>
    <mergeCell ref="C546:D546"/>
    <mergeCell ref="C547:D547"/>
    <mergeCell ref="C548:D548"/>
    <mergeCell ref="C549:D549"/>
    <mergeCell ref="C550:D550"/>
    <mergeCell ref="C516:D516"/>
    <mergeCell ref="G517:G532"/>
    <mergeCell ref="C526:D526"/>
    <mergeCell ref="C527:D527"/>
    <mergeCell ref="C528:D528"/>
    <mergeCell ref="C529:D529"/>
    <mergeCell ref="C530:D530"/>
    <mergeCell ref="C531:D531"/>
    <mergeCell ref="C532:D532"/>
    <mergeCell ref="C498:D498"/>
    <mergeCell ref="G499:G514"/>
    <mergeCell ref="C508:D508"/>
    <mergeCell ref="C509:D509"/>
    <mergeCell ref="C510:D510"/>
    <mergeCell ref="C511:D511"/>
    <mergeCell ref="C512:D512"/>
    <mergeCell ref="C513:D513"/>
    <mergeCell ref="C514:D514"/>
    <mergeCell ref="C480:D480"/>
    <mergeCell ref="G481:G496"/>
    <mergeCell ref="C490:D490"/>
    <mergeCell ref="C491:D491"/>
    <mergeCell ref="C492:D492"/>
    <mergeCell ref="C493:D493"/>
    <mergeCell ref="C494:D494"/>
    <mergeCell ref="C495:D495"/>
    <mergeCell ref="C496:D496"/>
    <mergeCell ref="C461:D461"/>
    <mergeCell ref="G462:G478"/>
    <mergeCell ref="C471:D471"/>
    <mergeCell ref="C472:D472"/>
    <mergeCell ref="C473:D473"/>
    <mergeCell ref="C474:D474"/>
    <mergeCell ref="C475:D475"/>
    <mergeCell ref="C476:D476"/>
    <mergeCell ref="C477:D477"/>
    <mergeCell ref="C478:D478"/>
    <mergeCell ref="C443:D443"/>
    <mergeCell ref="G444:G459"/>
    <mergeCell ref="C453:D453"/>
    <mergeCell ref="C454:D454"/>
    <mergeCell ref="C455:D455"/>
    <mergeCell ref="C456:D456"/>
    <mergeCell ref="C457:D457"/>
    <mergeCell ref="C458:D458"/>
    <mergeCell ref="C459:D459"/>
    <mergeCell ref="C167:D167"/>
    <mergeCell ref="G168:G183"/>
    <mergeCell ref="C203:D203"/>
    <mergeCell ref="G204:G221"/>
    <mergeCell ref="C215:D215"/>
    <mergeCell ref="C216:D216"/>
    <mergeCell ref="C217:D217"/>
    <mergeCell ref="C218:D218"/>
    <mergeCell ref="C219:D219"/>
    <mergeCell ref="C220:D220"/>
    <mergeCell ref="C221:D221"/>
    <mergeCell ref="C242:D242"/>
    <mergeCell ref="G243:G258"/>
    <mergeCell ref="C252:D252"/>
    <mergeCell ref="C253:D253"/>
    <mergeCell ref="C254:D254"/>
    <mergeCell ref="C255:D255"/>
    <mergeCell ref="C256:D256"/>
    <mergeCell ref="C257:D257"/>
    <mergeCell ref="C258:D258"/>
    <mergeCell ref="C224:D224"/>
    <mergeCell ref="G225:G240"/>
    <mergeCell ref="C235:D235"/>
    <mergeCell ref="C236:D236"/>
    <mergeCell ref="C237:D237"/>
    <mergeCell ref="C238:D238"/>
    <mergeCell ref="C239:D239"/>
    <mergeCell ref="C240:D240"/>
    <mergeCell ref="C177:D177"/>
    <mergeCell ref="C178:D178"/>
    <mergeCell ref="C179:D179"/>
    <mergeCell ref="C180:D180"/>
    <mergeCell ref="C181:D181"/>
    <mergeCell ref="C182:D182"/>
    <mergeCell ref="C183:D183"/>
    <mergeCell ref="C147:D147"/>
    <mergeCell ref="G148:G165"/>
    <mergeCell ref="C158:D158"/>
    <mergeCell ref="C159:D159"/>
    <mergeCell ref="C160:D160"/>
    <mergeCell ref="C161:D161"/>
    <mergeCell ref="C162:D162"/>
    <mergeCell ref="C163:D163"/>
    <mergeCell ref="C164:D164"/>
    <mergeCell ref="C165:D165"/>
    <mergeCell ref="G135:G145"/>
    <mergeCell ref="C116:D116"/>
    <mergeCell ref="G117:G132"/>
    <mergeCell ref="C127:D127"/>
    <mergeCell ref="C128:D128"/>
    <mergeCell ref="C129:D129"/>
    <mergeCell ref="C130:D130"/>
    <mergeCell ref="C131:D131"/>
    <mergeCell ref="C132:D132"/>
    <mergeCell ref="C98:D98"/>
    <mergeCell ref="G99:G114"/>
    <mergeCell ref="C109:D109"/>
    <mergeCell ref="C110:D110"/>
    <mergeCell ref="C111:D111"/>
    <mergeCell ref="C112:D112"/>
    <mergeCell ref="C113:D113"/>
    <mergeCell ref="C114:D114"/>
    <mergeCell ref="C134:D134"/>
    <mergeCell ref="C80:D80"/>
    <mergeCell ref="G81:G96"/>
    <mergeCell ref="C90:D90"/>
    <mergeCell ref="C91:D91"/>
    <mergeCell ref="C92:D92"/>
    <mergeCell ref="C93:D93"/>
    <mergeCell ref="C94:D94"/>
    <mergeCell ref="C95:D95"/>
    <mergeCell ref="C96:D96"/>
    <mergeCell ref="B5:L5"/>
    <mergeCell ref="G8:G23"/>
    <mergeCell ref="C16:D16"/>
    <mergeCell ref="C17:D17"/>
    <mergeCell ref="C18:D18"/>
    <mergeCell ref="C7:D7"/>
    <mergeCell ref="C8:D8"/>
    <mergeCell ref="C19:D19"/>
    <mergeCell ref="C20:D20"/>
    <mergeCell ref="C21:D21"/>
    <mergeCell ref="C22:D22"/>
    <mergeCell ref="C23:D23"/>
    <mergeCell ref="C260:D260"/>
    <mergeCell ref="G261:G276"/>
    <mergeCell ref="C270:D270"/>
    <mergeCell ref="C271:D271"/>
    <mergeCell ref="C272:D272"/>
    <mergeCell ref="C273:D273"/>
    <mergeCell ref="C274:D274"/>
    <mergeCell ref="C275:D275"/>
    <mergeCell ref="C276:D276"/>
    <mergeCell ref="C185:D185"/>
    <mergeCell ref="G186:G201"/>
    <mergeCell ref="C195:D195"/>
    <mergeCell ref="C196:D196"/>
    <mergeCell ref="C197:D197"/>
    <mergeCell ref="C198:D198"/>
    <mergeCell ref="C199:D199"/>
    <mergeCell ref="C200:D200"/>
    <mergeCell ref="C201:D201"/>
    <mergeCell ref="C279:D279"/>
    <mergeCell ref="G280:G295"/>
    <mergeCell ref="C289:D289"/>
    <mergeCell ref="C290:D290"/>
    <mergeCell ref="C291:D291"/>
    <mergeCell ref="C292:D292"/>
    <mergeCell ref="C293:D293"/>
    <mergeCell ref="C294:D294"/>
    <mergeCell ref="C295:D295"/>
    <mergeCell ref="C315:D315"/>
    <mergeCell ref="G316:G331"/>
    <mergeCell ref="C329:D329"/>
    <mergeCell ref="C330:D330"/>
    <mergeCell ref="C331:D331"/>
    <mergeCell ref="C297:D297"/>
    <mergeCell ref="G298:G313"/>
    <mergeCell ref="C310:D310"/>
    <mergeCell ref="C311:D311"/>
    <mergeCell ref="C312:D312"/>
    <mergeCell ref="C313:D313"/>
    <mergeCell ref="C353:D353"/>
    <mergeCell ref="G354:G369"/>
    <mergeCell ref="C365:D365"/>
    <mergeCell ref="C366:D366"/>
    <mergeCell ref="C367:D367"/>
    <mergeCell ref="C368:D368"/>
    <mergeCell ref="C369:D369"/>
    <mergeCell ref="C333:D333"/>
    <mergeCell ref="G334:G351"/>
    <mergeCell ref="C349:D349"/>
    <mergeCell ref="C350:D350"/>
    <mergeCell ref="C351:D351"/>
    <mergeCell ref="C389:D389"/>
    <mergeCell ref="G390:G405"/>
    <mergeCell ref="C401:D401"/>
    <mergeCell ref="C402:D402"/>
    <mergeCell ref="C403:D403"/>
    <mergeCell ref="C404:D404"/>
    <mergeCell ref="C405:D405"/>
    <mergeCell ref="C371:D371"/>
    <mergeCell ref="G372:G387"/>
    <mergeCell ref="C383:D383"/>
    <mergeCell ref="C384:D384"/>
    <mergeCell ref="C385:D385"/>
    <mergeCell ref="C386:D386"/>
    <mergeCell ref="C387:D387"/>
    <mergeCell ref="C407:D407"/>
    <mergeCell ref="G408:G423"/>
    <mergeCell ref="C417:D417"/>
    <mergeCell ref="C418:D418"/>
    <mergeCell ref="C419:D419"/>
    <mergeCell ref="C420:D420"/>
    <mergeCell ref="C421:D421"/>
    <mergeCell ref="C422:D422"/>
    <mergeCell ref="C423:D423"/>
    <mergeCell ref="C425:D425"/>
    <mergeCell ref="G426:G441"/>
    <mergeCell ref="C435:D435"/>
    <mergeCell ref="C436:D436"/>
    <mergeCell ref="C437:D437"/>
    <mergeCell ref="C438:D438"/>
    <mergeCell ref="C439:D439"/>
    <mergeCell ref="C440:D440"/>
    <mergeCell ref="C441:D441"/>
  </mergeCells>
  <dataValidations count="1">
    <dataValidation type="decimal" allowBlank="1" showInputMessage="1" showErrorMessage="1" errorTitle="Incorrect Value for ABP/HP" error="The entered value does not meet the criteria for 'ABP' or 'HP' values._x000a__x000a_Only decimal values ​​between 0.25 and 100 in increments of 0.25 are supported." sqref="E8:F8 E16:F23 E90:F96 E158:F166 E109:F114 E234:F240 E127:F132 E329:F331 E145:F145 E252:F258 E269:F276 E288:F295 E310:F313 E434:F441 E349:F351 E365:F369 E383:F387 E401:F405 E417:F423 E215:F221 E452:F459 E471:F478 E489:F496 E507:F514 E525:F532 E543:F550 E561:F568 E579:F586 E597:F604 E615:F622 E633:F640 E651:F658 E669:F676 E687:F694 E71:F77 E741:F748 E759:F766 E777:F784 E795:F802 E813:F820 E831:F838 E847:F854 E862:F869 E35:F41 E53:F59 E705:F713 E723:F731 E877:F884 E892:F899 E907:F914 E922:F929 E937:F944 E952:F959 E967:F974 E982:F989 E997:F1004 E1012:F1019 E1027:F1034 E176:F202 E1042:F1049" xr:uid="{00000000-0002-0000-0200-000000000000}">
      <formula1>0.25</formula1>
      <formula2>100</formula2>
    </dataValidation>
  </dataValidations>
  <pageMargins left="0.39370078740157483" right="0.39370078740157483" top="0.59055118110236227" bottom="0.59055118110236227" header="0.19685039370078741" footer="0.19685039370078741"/>
  <pageSetup scale="7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AddNewTasksMetricsBoxFromTemplate">
                <anchor moveWithCells="1" sizeWithCells="1">
                  <from>
                    <xdr:col>8</xdr:col>
                    <xdr:colOff>0</xdr:colOff>
                    <xdr:row>12</xdr:row>
                    <xdr:rowOff>0</xdr:rowOff>
                  </from>
                  <to>
                    <xdr:col>12</xdr:col>
                    <xdr:colOff>0</xdr:colOff>
                    <xdr:row>14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B1:L65"/>
  <sheetViews>
    <sheetView showGridLines="0" tabSelected="1" topLeftCell="A55" workbookViewId="0">
      <selection activeCell="E65" sqref="E65:F65"/>
    </sheetView>
  </sheetViews>
  <sheetFormatPr defaultRowHeight="15.5"/>
  <cols>
    <col min="1" max="1" width="1.83203125" customWidth="1"/>
    <col min="2" max="2" width="7.5" customWidth="1"/>
    <col min="3" max="3" width="17.5" customWidth="1"/>
    <col min="4" max="4" width="22" customWidth="1"/>
    <col min="5" max="6" width="6.25" customWidth="1"/>
    <col min="7" max="7" width="25" customWidth="1"/>
    <col min="8" max="8" width="1.83203125" customWidth="1"/>
    <col min="9" max="12" width="8.08203125" customWidth="1"/>
    <col min="13" max="13" width="1.83203125" customWidth="1"/>
  </cols>
  <sheetData>
    <row r="1" spans="2:12" ht="11.25" customHeight="1"/>
    <row r="2" spans="2:12" ht="22.5" customHeight="1">
      <c r="C2" s="1"/>
      <c r="D2" s="1" t="s">
        <v>106</v>
      </c>
    </row>
    <row r="3" spans="2:12" ht="22.5" customHeight="1">
      <c r="C3" s="12"/>
      <c r="D3" s="12" t="str">
        <f>project_headline</f>
        <v>Publicis Sapient / Online POS System | Ongoing Releases Estimation</v>
      </c>
    </row>
    <row r="4" spans="2:12" ht="11.25" customHeight="1"/>
    <row r="5" spans="2:12" ht="31.5" customHeight="1">
      <c r="B5" s="365" t="s">
        <v>107</v>
      </c>
      <c r="C5" s="365"/>
      <c r="D5" s="365"/>
      <c r="E5" s="365"/>
      <c r="F5" s="365"/>
      <c r="G5" s="365"/>
      <c r="H5" s="365"/>
      <c r="I5" s="365"/>
      <c r="J5" s="365"/>
      <c r="K5" s="365"/>
      <c r="L5" s="365"/>
    </row>
    <row r="6" spans="2:12" ht="11.25" customHeight="1"/>
    <row r="7" spans="2:12" ht="15.75" customHeight="1">
      <c r="B7" s="372" t="s">
        <v>43</v>
      </c>
      <c r="C7" s="373"/>
      <c r="D7" s="373"/>
      <c r="E7" s="322" t="s">
        <v>44</v>
      </c>
      <c r="F7" s="323" t="s">
        <v>45</v>
      </c>
    </row>
    <row r="8" spans="2:12" ht="15.75" customHeight="1">
      <c r="B8" s="374" t="s">
        <v>22</v>
      </c>
      <c r="C8" s="375" t="s">
        <v>108</v>
      </c>
      <c r="D8" s="376" t="s">
        <v>108</v>
      </c>
      <c r="E8" s="207"/>
      <c r="F8" s="208"/>
    </row>
    <row r="9" spans="2:12" ht="15.75" customHeight="1">
      <c r="B9" s="377" t="s">
        <v>1773</v>
      </c>
      <c r="C9" s="378"/>
      <c r="D9" s="378"/>
      <c r="E9" s="283">
        <f t="shared" ref="E9:E40" si="0">VLOOKUP(B9,tasks_metrics_observation_area,3,FALSE)</f>
        <v>34</v>
      </c>
      <c r="F9" s="212" t="e">
        <f t="shared" ref="F9:F40" si="1">VLOOKUP(B9,tasks_metrics_observation_area,4,FALSE)</f>
        <v>#DIV/0!</v>
      </c>
    </row>
    <row r="10" spans="2:12">
      <c r="B10" s="370" t="s">
        <v>1817</v>
      </c>
      <c r="C10" s="371"/>
      <c r="D10" s="371"/>
      <c r="E10" s="282" t="e">
        <f t="shared" si="0"/>
        <v>#DIV/0!</v>
      </c>
      <c r="F10" s="214" t="e">
        <f t="shared" si="1"/>
        <v>#DIV/0!</v>
      </c>
    </row>
    <row r="11" spans="2:12">
      <c r="B11" s="370" t="s">
        <v>1819</v>
      </c>
      <c r="C11" s="371"/>
      <c r="D11" s="371"/>
      <c r="E11" s="282" t="e">
        <f t="shared" si="0"/>
        <v>#N/A</v>
      </c>
      <c r="F11" s="214" t="e">
        <f t="shared" si="1"/>
        <v>#N/A</v>
      </c>
    </row>
    <row r="12" spans="2:12">
      <c r="B12" s="370" t="s">
        <v>1737</v>
      </c>
      <c r="C12" s="371"/>
      <c r="D12" s="371"/>
      <c r="E12" s="282" t="e">
        <f t="shared" si="0"/>
        <v>#DIV/0!</v>
      </c>
      <c r="F12" s="214" t="e">
        <f t="shared" si="1"/>
        <v>#DIV/0!</v>
      </c>
    </row>
    <row r="13" spans="2:12">
      <c r="B13" s="370" t="s">
        <v>1820</v>
      </c>
      <c r="C13" s="371"/>
      <c r="D13" s="371"/>
      <c r="E13" s="282" t="e">
        <f t="shared" si="0"/>
        <v>#N/A</v>
      </c>
      <c r="F13" s="214" t="e">
        <f t="shared" si="1"/>
        <v>#N/A</v>
      </c>
    </row>
    <row r="14" spans="2:12">
      <c r="B14" s="370" t="s">
        <v>1739</v>
      </c>
      <c r="C14" s="371"/>
      <c r="D14" s="371"/>
      <c r="E14" s="282" t="e">
        <f t="shared" si="0"/>
        <v>#DIV/0!</v>
      </c>
      <c r="F14" s="214" t="e">
        <f t="shared" si="1"/>
        <v>#DIV/0!</v>
      </c>
    </row>
    <row r="15" spans="2:12">
      <c r="B15" s="370" t="s">
        <v>1730</v>
      </c>
      <c r="C15" s="371"/>
      <c r="D15" s="371"/>
      <c r="E15" s="282" t="e">
        <f t="shared" si="0"/>
        <v>#DIV/0!</v>
      </c>
      <c r="F15" s="214" t="e">
        <f t="shared" si="1"/>
        <v>#DIV/0!</v>
      </c>
    </row>
    <row r="16" spans="2:12">
      <c r="B16" s="370" t="s">
        <v>1731</v>
      </c>
      <c r="C16" s="371"/>
      <c r="D16" s="371"/>
      <c r="E16" s="282" t="e">
        <f t="shared" si="0"/>
        <v>#DIV/0!</v>
      </c>
      <c r="F16" s="214" t="e">
        <f t="shared" si="1"/>
        <v>#DIV/0!</v>
      </c>
    </row>
    <row r="17" spans="2:6">
      <c r="B17" s="370" t="s">
        <v>1818</v>
      </c>
      <c r="C17" s="371"/>
      <c r="D17" s="371"/>
      <c r="E17" s="282" t="e">
        <f>VLOOKUP(B17,tasks_metrics_observation_area,3,FALSE)</f>
        <v>#N/A</v>
      </c>
      <c r="F17" s="214" t="e">
        <f>VLOOKUP(B17,tasks_metrics_observation_area,4,FALSE)</f>
        <v>#N/A</v>
      </c>
    </row>
    <row r="18" spans="2:6">
      <c r="B18" s="453" t="s">
        <v>1782</v>
      </c>
      <c r="C18" s="355"/>
      <c r="D18" s="355"/>
      <c r="E18" s="282"/>
      <c r="F18" s="214"/>
    </row>
    <row r="19" spans="2:6">
      <c r="B19" s="370" t="s">
        <v>1742</v>
      </c>
      <c r="C19" s="371"/>
      <c r="D19" s="371"/>
      <c r="E19" s="282" t="e">
        <f>VLOOKUP(B19,tasks_metrics_observation_area,3,FALSE)</f>
        <v>#DIV/0!</v>
      </c>
      <c r="F19" s="214" t="e">
        <f>VLOOKUP(B19,tasks_metrics_observation_area,4,FALSE)</f>
        <v>#DIV/0!</v>
      </c>
    </row>
    <row r="20" spans="2:6">
      <c r="B20" s="370" t="s">
        <v>1733</v>
      </c>
      <c r="C20" s="371"/>
      <c r="D20" s="371"/>
      <c r="E20" s="282" t="e">
        <f>VLOOKUP(B20,tasks_metrics_observation_area,3,FALSE)</f>
        <v>#DIV/0!</v>
      </c>
      <c r="F20" s="214" t="e">
        <f>VLOOKUP(B20,tasks_metrics_observation_area,4,FALSE)</f>
        <v>#DIV/0!</v>
      </c>
    </row>
    <row r="21" spans="2:6">
      <c r="B21" s="370" t="s">
        <v>1744</v>
      </c>
      <c r="C21" s="371"/>
      <c r="D21" s="371"/>
      <c r="E21" s="282" t="e">
        <f>VLOOKUP(B21,tasks_metrics_observation_area,3,FALSE)</f>
        <v>#DIV/0!</v>
      </c>
      <c r="F21" s="214" t="e">
        <f>VLOOKUP(B21,tasks_metrics_observation_area,4,FALSE)</f>
        <v>#DIV/0!</v>
      </c>
    </row>
    <row r="22" spans="2:6">
      <c r="B22" s="370" t="s">
        <v>1746</v>
      </c>
      <c r="C22" s="371"/>
      <c r="D22" s="371"/>
      <c r="E22" s="282" t="e">
        <f>VLOOKUP(B22,tasks_metrics_observation_area,3,FALSE)</f>
        <v>#DIV/0!</v>
      </c>
      <c r="F22" s="214" t="e">
        <f>VLOOKUP(B22,tasks_metrics_observation_area,4,FALSE)</f>
        <v>#DIV/0!</v>
      </c>
    </row>
    <row r="23" spans="2:6">
      <c r="B23" s="451" t="s">
        <v>1749</v>
      </c>
      <c r="C23" s="452"/>
      <c r="D23" s="452"/>
      <c r="E23" s="282" t="e">
        <f>VLOOKUP(B23,tasks_metrics_observation_area,3,FALSE)</f>
        <v>#DIV/0!</v>
      </c>
      <c r="F23" s="214" t="e">
        <f>VLOOKUP(B23,tasks_metrics_observation_area,4,FALSE)</f>
        <v>#DIV/0!</v>
      </c>
    </row>
    <row r="24" spans="2:6">
      <c r="B24" s="370" t="s">
        <v>1785</v>
      </c>
      <c r="C24" s="371"/>
      <c r="D24" s="371"/>
      <c r="E24" s="282" t="e">
        <f>VLOOKUP(B24,tasks_metrics_observation_area,3,FALSE)</f>
        <v>#DIV/0!</v>
      </c>
      <c r="F24" s="214" t="e">
        <f>VLOOKUP(B24,tasks_metrics_observation_area,4,FALSE)</f>
        <v>#DIV/0!</v>
      </c>
    </row>
    <row r="25" spans="2:6">
      <c r="B25" s="451" t="s">
        <v>1747</v>
      </c>
      <c r="C25" s="452"/>
      <c r="D25" s="452"/>
      <c r="E25" s="282" t="e">
        <f>VLOOKUP(B25,tasks_metrics_observation_area,3,FALSE)</f>
        <v>#DIV/0!</v>
      </c>
      <c r="F25" s="214" t="e">
        <f>VLOOKUP(B25,tasks_metrics_observation_area,4,FALSE)</f>
        <v>#DIV/0!</v>
      </c>
    </row>
    <row r="26" spans="2:6">
      <c r="B26" s="451" t="s">
        <v>1748</v>
      </c>
      <c r="C26" s="452"/>
      <c r="D26" s="452"/>
      <c r="E26" s="282" t="e">
        <f>VLOOKUP(B26,tasks_metrics_observation_area,3,FALSE)</f>
        <v>#DIV/0!</v>
      </c>
      <c r="F26" s="214" t="e">
        <f>VLOOKUP(B26,tasks_metrics_observation_area,4,FALSE)</f>
        <v>#DIV/0!</v>
      </c>
    </row>
    <row r="27" spans="2:6">
      <c r="B27" s="370" t="s">
        <v>1821</v>
      </c>
      <c r="C27" s="371"/>
      <c r="D27" s="371"/>
      <c r="E27" s="282">
        <f>VLOOKUP(B27,tasks_metrics_observation_area,3,FALSE)</f>
        <v>22</v>
      </c>
      <c r="F27" s="214" t="e">
        <f>VLOOKUP(B27,tasks_metrics_observation_area,4,FALSE)</f>
        <v>#DIV/0!</v>
      </c>
    </row>
    <row r="28" spans="2:6">
      <c r="B28" s="457" t="s">
        <v>1751</v>
      </c>
      <c r="C28" s="458"/>
      <c r="D28" s="458"/>
      <c r="E28" s="281" t="e">
        <f>VLOOKUP(B28,tasks_metrics_observation_area,3,FALSE)</f>
        <v>#DIV/0!</v>
      </c>
      <c r="F28" s="213" t="e">
        <f>VLOOKUP(B28,tasks_metrics_observation_area,4,FALSE)</f>
        <v>#DIV/0!</v>
      </c>
    </row>
    <row r="29" spans="2:6">
      <c r="B29" s="451" t="s">
        <v>1752</v>
      </c>
      <c r="C29" s="452"/>
      <c r="D29" s="452"/>
      <c r="E29" s="282" t="e">
        <f>VLOOKUP(B29,tasks_metrics_observation_area,3,FALSE)</f>
        <v>#DIV/0!</v>
      </c>
      <c r="F29" s="214" t="e">
        <f>VLOOKUP(B29,tasks_metrics_observation_area,4,FALSE)</f>
        <v>#DIV/0!</v>
      </c>
    </row>
    <row r="30" spans="2:6">
      <c r="B30" s="459" t="s">
        <v>1753</v>
      </c>
      <c r="C30" s="460"/>
      <c r="D30" s="460"/>
      <c r="E30" s="282"/>
      <c r="F30" s="214"/>
    </row>
    <row r="31" spans="2:6">
      <c r="B31" s="451" t="s">
        <v>1754</v>
      </c>
      <c r="C31" s="452"/>
      <c r="D31" s="452"/>
      <c r="E31" s="282" t="e">
        <f>VLOOKUP(B31,tasks_metrics_observation_area,3,FALSE)</f>
        <v>#DIV/0!</v>
      </c>
      <c r="F31" s="214" t="e">
        <f>VLOOKUP(B31,tasks_metrics_observation_area,4,FALSE)</f>
        <v>#DIV/0!</v>
      </c>
    </row>
    <row r="32" spans="2:6">
      <c r="B32" s="451" t="s">
        <v>1824</v>
      </c>
      <c r="C32" s="452"/>
      <c r="D32" s="452"/>
      <c r="E32" s="282" t="e">
        <f>VLOOKUP(B32,tasks_metrics_observation_area,3,FALSE)</f>
        <v>#DIV/0!</v>
      </c>
      <c r="F32" s="214" t="e">
        <f>VLOOKUP(B32,tasks_metrics_observation_area,4,FALSE)</f>
        <v>#DIV/0!</v>
      </c>
    </row>
    <row r="33" spans="2:6">
      <c r="B33" s="451" t="s">
        <v>1823</v>
      </c>
      <c r="C33" s="452"/>
      <c r="D33" s="452"/>
      <c r="E33" s="282" t="e">
        <f>VLOOKUP(B33,tasks_metrics_observation_area,3,FALSE)</f>
        <v>#DIV/0!</v>
      </c>
      <c r="F33" s="214" t="e">
        <f>VLOOKUP(B33,tasks_metrics_observation_area,4,FALSE)</f>
        <v>#DIV/0!</v>
      </c>
    </row>
    <row r="34" spans="2:6">
      <c r="B34" s="370" t="s">
        <v>1757</v>
      </c>
      <c r="C34" s="371"/>
      <c r="D34" s="371"/>
      <c r="E34" s="282" t="e">
        <f>VLOOKUP(B34,tasks_metrics_observation_area,3,FALSE)</f>
        <v>#DIV/0!</v>
      </c>
      <c r="F34" s="214" t="e">
        <f>VLOOKUP(B34,tasks_metrics_observation_area,4,FALSE)</f>
        <v>#DIV/0!</v>
      </c>
    </row>
    <row r="35" spans="2:6">
      <c r="B35" s="466" t="s">
        <v>1755</v>
      </c>
      <c r="C35" s="467"/>
      <c r="D35" s="467"/>
      <c r="E35" s="282" t="e">
        <f>VLOOKUP(B35,tasks_metrics_observation_area,3,FALSE)</f>
        <v>#DIV/0!</v>
      </c>
      <c r="F35" s="214" t="e">
        <f>VLOOKUP(B35,tasks_metrics_observation_area,4,FALSE)</f>
        <v>#DIV/0!</v>
      </c>
    </row>
    <row r="36" spans="2:6">
      <c r="B36" s="370" t="s">
        <v>1756</v>
      </c>
      <c r="C36" s="371"/>
      <c r="D36" s="371"/>
      <c r="E36" s="282" t="e">
        <f>VLOOKUP(B36,tasks_metrics_observation_area,3,FALSE)</f>
        <v>#DIV/0!</v>
      </c>
      <c r="F36" s="214" t="e">
        <f>VLOOKUP(B36,tasks_metrics_observation_area,4,FALSE)</f>
        <v>#DIV/0!</v>
      </c>
    </row>
    <row r="37" spans="2:6">
      <c r="B37" s="466" t="s">
        <v>1758</v>
      </c>
      <c r="C37" s="467"/>
      <c r="D37" s="467"/>
      <c r="E37" s="282" t="e">
        <f>VLOOKUP(B37,tasks_metrics_observation_area,3,FALSE)</f>
        <v>#DIV/0!</v>
      </c>
      <c r="F37" s="214" t="e">
        <f>VLOOKUP(B37,tasks_metrics_observation_area,4,FALSE)</f>
        <v>#DIV/0!</v>
      </c>
    </row>
    <row r="38" spans="2:6">
      <c r="B38" s="466" t="s">
        <v>1761</v>
      </c>
      <c r="C38" s="467"/>
      <c r="D38" s="467"/>
      <c r="E38" s="282" t="e">
        <f>VLOOKUP(B38,tasks_metrics_observation_area,3,FALSE)</f>
        <v>#DIV/0!</v>
      </c>
      <c r="F38" s="214" t="e">
        <f>VLOOKUP(B38,tasks_metrics_observation_area,4,FALSE)</f>
        <v>#DIV/0!</v>
      </c>
    </row>
    <row r="39" spans="2:6">
      <c r="B39" s="370" t="s">
        <v>1762</v>
      </c>
      <c r="C39" s="371"/>
      <c r="D39" s="371"/>
      <c r="E39" s="282" t="e">
        <f>VLOOKUP(B39,tasks_metrics_observation_area,3,FALSE)</f>
        <v>#DIV/0!</v>
      </c>
      <c r="F39" s="214" t="e">
        <f>VLOOKUP(B39,tasks_metrics_observation_area,4,FALSE)</f>
        <v>#DIV/0!</v>
      </c>
    </row>
    <row r="40" spans="2:6">
      <c r="B40" s="368" t="s">
        <v>1763</v>
      </c>
      <c r="C40" s="369"/>
      <c r="D40" s="369"/>
      <c r="E40" s="281" t="e">
        <f>VLOOKUP(B40,tasks_metrics_observation_area,3,FALSE)</f>
        <v>#DIV/0!</v>
      </c>
      <c r="F40" s="213" t="e">
        <f>VLOOKUP(B40,tasks_metrics_observation_area,4,FALSE)</f>
        <v>#DIV/0!</v>
      </c>
    </row>
    <row r="41" spans="2:6">
      <c r="B41" s="468" t="s">
        <v>1764</v>
      </c>
      <c r="C41" s="469"/>
      <c r="D41" s="469"/>
      <c r="E41" s="281" t="e">
        <f>VLOOKUP(B41,tasks_metrics_observation_area,3,FALSE)</f>
        <v>#DIV/0!</v>
      </c>
      <c r="F41" s="213" t="e">
        <f>VLOOKUP(B41,tasks_metrics_observation_area,4,FALSE)</f>
        <v>#DIV/0!</v>
      </c>
    </row>
    <row r="42" spans="2:6">
      <c r="B42" s="466" t="s">
        <v>1825</v>
      </c>
      <c r="C42" s="467"/>
      <c r="D42" s="467"/>
      <c r="E42" s="282" t="e">
        <f>VLOOKUP(B42,tasks_metrics_observation_area,3,FALSE)</f>
        <v>#DIV/0!</v>
      </c>
      <c r="F42" s="214" t="e">
        <f>VLOOKUP(B42,tasks_metrics_observation_area,4,FALSE)</f>
        <v>#DIV/0!</v>
      </c>
    </row>
    <row r="43" spans="2:6">
      <c r="B43" s="471" t="s">
        <v>1826</v>
      </c>
      <c r="C43" s="472"/>
      <c r="D43" s="472"/>
      <c r="E43" s="282">
        <f>VLOOKUP(B43,tasks_metrics_observation_area,3,FALSE)</f>
        <v>0</v>
      </c>
      <c r="F43" s="214" t="e">
        <f>VLOOKUP(B43,tasks_metrics_observation_area,4,FALSE)</f>
        <v>#DIV/0!</v>
      </c>
    </row>
    <row r="44" spans="2:6">
      <c r="B44" s="466" t="s">
        <v>1765</v>
      </c>
      <c r="C44" s="467"/>
      <c r="D44" s="467"/>
      <c r="E44" s="282" t="e">
        <f>VLOOKUP(B44,tasks_metrics_observation_area,3,FALSE)</f>
        <v>#DIV/0!</v>
      </c>
      <c r="F44" s="214" t="e">
        <f>VLOOKUP(B44,tasks_metrics_observation_area,4,FALSE)</f>
        <v>#DIV/0!</v>
      </c>
    </row>
    <row r="45" spans="2:6">
      <c r="B45" s="466" t="s">
        <v>1796</v>
      </c>
      <c r="C45" s="467"/>
      <c r="D45" s="467"/>
      <c r="E45" s="282" t="e">
        <f>VLOOKUP(B45,tasks_metrics_observation_area,3,FALSE)</f>
        <v>#DIV/0!</v>
      </c>
      <c r="F45" s="214" t="e">
        <f>VLOOKUP(B45,tasks_metrics_observation_area,4,FALSE)</f>
        <v>#DIV/0!</v>
      </c>
    </row>
    <row r="46" spans="2:6">
      <c r="B46" s="466" t="s">
        <v>1797</v>
      </c>
      <c r="C46" s="467"/>
      <c r="D46" s="467"/>
      <c r="E46" s="282" t="e">
        <f>VLOOKUP(B46,tasks_metrics_observation_area,3,FALSE)</f>
        <v>#DIV/0!</v>
      </c>
      <c r="F46" s="214" t="e">
        <f>VLOOKUP(B46,tasks_metrics_observation_area,4,FALSE)</f>
        <v>#DIV/0!</v>
      </c>
    </row>
    <row r="47" spans="2:6">
      <c r="B47" s="370" t="s">
        <v>1766</v>
      </c>
      <c r="C47" s="371"/>
      <c r="D47" s="371"/>
      <c r="E47" s="282" t="e">
        <f>VLOOKUP(B47,tasks_metrics_observation_area,3,FALSE)</f>
        <v>#DIV/0!</v>
      </c>
      <c r="F47" s="214" t="e">
        <f>VLOOKUP(B47,tasks_metrics_observation_area,4,FALSE)</f>
        <v>#DIV/0!</v>
      </c>
    </row>
    <row r="48" spans="2:6">
      <c r="B48" s="466" t="s">
        <v>1767</v>
      </c>
      <c r="C48" s="467"/>
      <c r="D48" s="467"/>
      <c r="E48" s="282" t="e">
        <f>VLOOKUP(B48,tasks_metrics_observation_area,3,FALSE)</f>
        <v>#DIV/0!</v>
      </c>
      <c r="F48" s="214" t="e">
        <f>VLOOKUP(B48,tasks_metrics_observation_area,4,FALSE)</f>
        <v>#DIV/0!</v>
      </c>
    </row>
    <row r="49" spans="2:6">
      <c r="B49" s="370" t="s">
        <v>1768</v>
      </c>
      <c r="C49" s="371"/>
      <c r="D49" s="371"/>
      <c r="E49" s="282" t="e">
        <f>VLOOKUP(B49,tasks_metrics_observation_area,3,FALSE)</f>
        <v>#DIV/0!</v>
      </c>
      <c r="F49" s="214" t="e">
        <f>VLOOKUP(B49,tasks_metrics_observation_area,4,FALSE)</f>
        <v>#DIV/0!</v>
      </c>
    </row>
    <row r="50" spans="2:6">
      <c r="B50" s="466" t="s">
        <v>1769</v>
      </c>
      <c r="C50" s="467"/>
      <c r="D50" s="467"/>
      <c r="E50" s="282" t="e">
        <f>VLOOKUP(B50,tasks_metrics_observation_area,3,FALSE)</f>
        <v>#DIV/0!</v>
      </c>
      <c r="F50" s="214" t="e">
        <f>VLOOKUP(B50,tasks_metrics_observation_area,4,FALSE)</f>
        <v>#DIV/0!</v>
      </c>
    </row>
    <row r="51" spans="2:6">
      <c r="B51" s="466" t="s">
        <v>1770</v>
      </c>
      <c r="C51" s="467"/>
      <c r="D51" s="467"/>
      <c r="E51" s="282" t="e">
        <f>VLOOKUP(B51,tasks_metrics_observation_area,3,FALSE)</f>
        <v>#DIV/0!</v>
      </c>
      <c r="F51" s="214" t="e">
        <f>VLOOKUP(B51,tasks_metrics_observation_area,4,FALSE)</f>
        <v>#DIV/0!</v>
      </c>
    </row>
    <row r="52" spans="2:6">
      <c r="B52" s="370" t="s">
        <v>1723</v>
      </c>
      <c r="C52" s="371"/>
      <c r="D52" s="371"/>
      <c r="E52" s="282" t="e">
        <f>VLOOKUP(B52,tasks_metrics_observation_area,3,FALSE)</f>
        <v>#DIV/0!</v>
      </c>
      <c r="F52" s="214" t="e">
        <f>VLOOKUP(B52,tasks_metrics_observation_area,4,FALSE)</f>
        <v>#DIV/0!</v>
      </c>
    </row>
    <row r="53" spans="2:6">
      <c r="B53" s="368" t="s">
        <v>1724</v>
      </c>
      <c r="C53" s="369"/>
      <c r="D53" s="369"/>
      <c r="E53" s="281" t="e">
        <f>VLOOKUP(B53,tasks_metrics_observation_area,3,FALSE)</f>
        <v>#DIV/0!</v>
      </c>
      <c r="F53" s="213" t="e">
        <f>VLOOKUP(B53,tasks_metrics_observation_area,4,FALSE)</f>
        <v>#DIV/0!</v>
      </c>
    </row>
    <row r="54" spans="2:6">
      <c r="B54" s="466" t="s">
        <v>1806</v>
      </c>
      <c r="C54" s="467"/>
      <c r="D54" s="467"/>
      <c r="E54" s="282" t="e">
        <f>VLOOKUP(B54,tasks_metrics_observation_area,3,FALSE)</f>
        <v>#DIV/0!</v>
      </c>
      <c r="F54" s="214" t="e">
        <f>VLOOKUP(B54,tasks_metrics_observation_area,4,FALSE)</f>
        <v>#DIV/0!</v>
      </c>
    </row>
    <row r="55" spans="2:6">
      <c r="B55" s="370" t="s">
        <v>1725</v>
      </c>
      <c r="C55" s="371"/>
      <c r="D55" s="371"/>
      <c r="E55" s="282" t="e">
        <f>VLOOKUP(B55,tasks_metrics_observation_area,3,FALSE)</f>
        <v>#DIV/0!</v>
      </c>
      <c r="F55" s="214" t="e">
        <f>VLOOKUP(B55,tasks_metrics_observation_area,4,FALSE)</f>
        <v>#DIV/0!</v>
      </c>
    </row>
    <row r="56" spans="2:6">
      <c r="B56" s="466" t="s">
        <v>1810</v>
      </c>
      <c r="C56" s="467"/>
      <c r="D56" s="467"/>
      <c r="E56" s="282" t="e">
        <f>VLOOKUP(B56,tasks_metrics_observation_area,3,FALSE)</f>
        <v>#DIV/0!</v>
      </c>
      <c r="F56" s="214" t="e">
        <f>VLOOKUP(B56,tasks_metrics_observation_area,4,FALSE)</f>
        <v>#DIV/0!</v>
      </c>
    </row>
    <row r="57" spans="2:6">
      <c r="B57" s="370" t="s">
        <v>1828</v>
      </c>
      <c r="C57" s="371"/>
      <c r="D57" s="371"/>
      <c r="E57" s="282" t="e">
        <f>VLOOKUP(B57,tasks_metrics_observation_area,3,FALSE)</f>
        <v>#DIV/0!</v>
      </c>
      <c r="F57" s="214" t="e">
        <f>VLOOKUP(B57,tasks_metrics_observation_area,4,FALSE)</f>
        <v>#DIV/0!</v>
      </c>
    </row>
    <row r="58" spans="2:6">
      <c r="B58" s="466" t="s">
        <v>1811</v>
      </c>
      <c r="C58" s="467"/>
      <c r="D58" s="467"/>
      <c r="E58" s="282" t="e">
        <f>VLOOKUP(B58,tasks_metrics_observation_area,3,FALSE)</f>
        <v>#DIV/0!</v>
      </c>
      <c r="F58" s="214" t="e">
        <f>VLOOKUP(B58,tasks_metrics_observation_area,4,FALSE)</f>
        <v>#DIV/0!</v>
      </c>
    </row>
    <row r="59" spans="2:6">
      <c r="B59" s="466" t="s">
        <v>1772</v>
      </c>
      <c r="C59" s="467"/>
      <c r="D59" s="467"/>
      <c r="E59" s="282" t="e">
        <f>VLOOKUP(B59,tasks_metrics_observation_area,3,FALSE)</f>
        <v>#DIV/0!</v>
      </c>
      <c r="F59" s="214" t="e">
        <f>VLOOKUP(B59,tasks_metrics_observation_area,4,FALSE)</f>
        <v>#DIV/0!</v>
      </c>
    </row>
    <row r="60" spans="2:6">
      <c r="B60" s="370" t="s">
        <v>1771</v>
      </c>
      <c r="C60" s="371"/>
      <c r="D60" s="371"/>
      <c r="E60" s="282" t="e">
        <f>VLOOKUP(B60,tasks_metrics_observation_area,3,FALSE)</f>
        <v>#DIV/0!</v>
      </c>
      <c r="F60" s="214" t="e">
        <f>VLOOKUP(B60,tasks_metrics_observation_area,4,FALSE)</f>
        <v>#DIV/0!</v>
      </c>
    </row>
    <row r="61" spans="2:6">
      <c r="B61" s="368" t="s">
        <v>1812</v>
      </c>
      <c r="C61" s="369"/>
      <c r="D61" s="369"/>
      <c r="E61" s="281" t="e">
        <f>VLOOKUP(B61,tasks_metrics_observation_area,3,FALSE)</f>
        <v>#DIV/0!</v>
      </c>
      <c r="F61" s="213" t="e">
        <f>VLOOKUP(B61,tasks_metrics_observation_area,4,FALSE)</f>
        <v>#DIV/0!</v>
      </c>
    </row>
    <row r="62" spans="2:6">
      <c r="B62" s="466" t="s">
        <v>1728</v>
      </c>
      <c r="C62" s="467"/>
      <c r="D62" s="467"/>
      <c r="E62" s="282" t="e">
        <f>VLOOKUP(B62,tasks_metrics_observation_area,3,FALSE)</f>
        <v>#DIV/0!</v>
      </c>
      <c r="F62" s="214" t="e">
        <f>VLOOKUP(B62,tasks_metrics_observation_area,4,FALSE)</f>
        <v>#DIV/0!</v>
      </c>
    </row>
    <row r="63" spans="2:6">
      <c r="B63" s="451" t="s">
        <v>1813</v>
      </c>
      <c r="C63" s="452"/>
      <c r="D63" s="452"/>
      <c r="E63" s="282" t="e">
        <f>VLOOKUP(B63,tasks_metrics_observation_area,3,FALSE)</f>
        <v>#DIV/0!</v>
      </c>
      <c r="F63" s="214" t="e">
        <f>VLOOKUP(B63,tasks_metrics_observation_area,4,FALSE)</f>
        <v>#DIV/0!</v>
      </c>
    </row>
    <row r="64" spans="2:6">
      <c r="B64" s="370" t="s">
        <v>1814</v>
      </c>
      <c r="C64" s="371"/>
      <c r="D64" s="371"/>
      <c r="E64" s="282" t="e">
        <f>VLOOKUP(B64,tasks_metrics_observation_area,3,FALSE)</f>
        <v>#DIV/0!</v>
      </c>
      <c r="F64" s="214" t="e">
        <f>VLOOKUP(B64,tasks_metrics_observation_area,4,FALSE)</f>
        <v>#DIV/0!</v>
      </c>
    </row>
    <row r="65" spans="2:6">
      <c r="B65" s="476" t="s">
        <v>1831</v>
      </c>
      <c r="C65" s="477"/>
      <c r="D65" s="478"/>
      <c r="E65" s="282" t="e">
        <f>VLOOKUP(B65,tasks_metrics_observation_area,3,FALSE)</f>
        <v>#DIV/0!</v>
      </c>
      <c r="F65" s="214" t="e">
        <f>VLOOKUP(B65,tasks_metrics_observation_area,4,FALSE)</f>
        <v>#DIV/0!</v>
      </c>
    </row>
  </sheetData>
  <dataConsolidate/>
  <mergeCells count="57">
    <mergeCell ref="B65:D65"/>
    <mergeCell ref="B60:D60"/>
    <mergeCell ref="B61:D61"/>
    <mergeCell ref="B62:D62"/>
    <mergeCell ref="B63:D63"/>
    <mergeCell ref="B64:D64"/>
    <mergeCell ref="B55:D55"/>
    <mergeCell ref="B56:D56"/>
    <mergeCell ref="B57:D57"/>
    <mergeCell ref="B58:D58"/>
    <mergeCell ref="B59:D59"/>
    <mergeCell ref="B50:D50"/>
    <mergeCell ref="B51:D51"/>
    <mergeCell ref="B52:D52"/>
    <mergeCell ref="B53:D53"/>
    <mergeCell ref="B54:D54"/>
    <mergeCell ref="B45:D45"/>
    <mergeCell ref="B46:D46"/>
    <mergeCell ref="B47:D47"/>
    <mergeCell ref="B48:D48"/>
    <mergeCell ref="B49:D49"/>
    <mergeCell ref="B39:D39"/>
    <mergeCell ref="B40:D40"/>
    <mergeCell ref="B41:D41"/>
    <mergeCell ref="B42:D42"/>
    <mergeCell ref="B44:D44"/>
    <mergeCell ref="B34:D34"/>
    <mergeCell ref="B35:D35"/>
    <mergeCell ref="B36:D36"/>
    <mergeCell ref="B37:D37"/>
    <mergeCell ref="B38:D38"/>
    <mergeCell ref="B29:D29"/>
    <mergeCell ref="B31:D31"/>
    <mergeCell ref="B32:D32"/>
    <mergeCell ref="B33:D33"/>
    <mergeCell ref="B16:D16"/>
    <mergeCell ref="B17:D17"/>
    <mergeCell ref="B11:D11"/>
    <mergeCell ref="B12:D12"/>
    <mergeCell ref="B13:D13"/>
    <mergeCell ref="B14:D14"/>
    <mergeCell ref="B15:D15"/>
    <mergeCell ref="B7:D7"/>
    <mergeCell ref="B5:L5"/>
    <mergeCell ref="B8:D8"/>
    <mergeCell ref="B9:D9"/>
    <mergeCell ref="B10:D10"/>
    <mergeCell ref="B19:D19"/>
    <mergeCell ref="B20:D20"/>
    <mergeCell ref="B21:D21"/>
    <mergeCell ref="B22:D22"/>
    <mergeCell ref="B28:D28"/>
    <mergeCell ref="B23:D23"/>
    <mergeCell ref="B24:D24"/>
    <mergeCell ref="B25:D25"/>
    <mergeCell ref="B26:D26"/>
    <mergeCell ref="B27:D27"/>
  </mergeCells>
  <phoneticPr fontId="41" type="noConversion"/>
  <dataValidations count="1">
    <dataValidation type="custom" allowBlank="1" showInputMessage="1" showErrorMessage="1" sqref="G10:G40" xr:uid="{00000000-0002-0000-0300-000000000000}">
      <formula1>""</formula1>
    </dataValidation>
  </dataValidations>
  <pageMargins left="0.39370078740157483" right="0.39370078740157483" top="0.59055118110236227" bottom="0.59055118110236227" header="0.19685039370078741" footer="0.19685039370078741"/>
  <pageSetup scale="7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2:V528"/>
  <sheetViews>
    <sheetView showGridLines="0" zoomScale="75" zoomScaleNormal="75" workbookViewId="0">
      <selection activeCell="F16" sqref="F16"/>
    </sheetView>
  </sheetViews>
  <sheetFormatPr defaultRowHeight="15.5"/>
  <cols>
    <col min="1" max="2" width="1.83203125" customWidth="1"/>
    <col min="3" max="3" width="15.25" customWidth="1"/>
    <col min="4" max="4" width="12.5" customWidth="1"/>
    <col min="5" max="5" width="38.75" customWidth="1"/>
    <col min="6" max="6" width="9" customWidth="1"/>
    <col min="7" max="7" width="27.83203125" customWidth="1"/>
    <col min="8" max="8" width="12.33203125" customWidth="1"/>
    <col min="9" max="9" width="7.5" customWidth="1"/>
    <col min="10" max="10" width="20.08203125" customWidth="1"/>
    <col min="11" max="12" width="8.75" customWidth="1"/>
    <col min="13" max="13" width="9.75" customWidth="1"/>
    <col min="14" max="14" width="8" customWidth="1"/>
    <col min="15" max="15" width="5.58203125" customWidth="1"/>
    <col min="16" max="16" width="7.25" customWidth="1"/>
    <col min="17" max="17" width="6.5" customWidth="1"/>
    <col min="18" max="18" width="8" customWidth="1"/>
    <col min="19" max="19" width="5.58203125" customWidth="1"/>
    <col min="20" max="20" width="34.33203125" customWidth="1"/>
    <col min="21" max="21" width="1.83203125" customWidth="1"/>
    <col min="22" max="23" width="9" customWidth="1"/>
  </cols>
  <sheetData>
    <row r="2" spans="1:22" ht="21">
      <c r="C2" s="1"/>
      <c r="E2" s="1" t="s">
        <v>109</v>
      </c>
      <c r="F2" s="1"/>
    </row>
    <row r="3" spans="1:22">
      <c r="C3" s="12"/>
      <c r="E3" s="12" t="str">
        <f>project_headline</f>
        <v>Publicis Sapient / Online POS System | Ongoing Releases Estimation</v>
      </c>
      <c r="F3" s="12"/>
    </row>
    <row r="5" spans="1:22">
      <c r="B5" s="365" t="s">
        <v>110</v>
      </c>
      <c r="C5" s="365"/>
      <c r="D5" s="365"/>
      <c r="E5" s="365"/>
      <c r="F5" s="66"/>
      <c r="G5" s="24"/>
      <c r="H5" s="24"/>
      <c r="I5" s="24"/>
      <c r="J5" s="24"/>
      <c r="K5" s="24"/>
      <c r="L5" s="24"/>
      <c r="M5" s="24"/>
      <c r="N5" s="24"/>
      <c r="O5" s="24"/>
      <c r="P5" s="24"/>
      <c r="Q5" s="24"/>
      <c r="R5" s="24"/>
      <c r="S5" s="24"/>
      <c r="T5" s="24"/>
      <c r="U5" s="24"/>
      <c r="V5" s="24"/>
    </row>
    <row r="6" spans="1:22">
      <c r="B6" s="365"/>
      <c r="C6" s="365"/>
      <c r="D6" s="365"/>
      <c r="E6" s="365"/>
      <c r="F6" s="66"/>
    </row>
    <row r="7" spans="1:22">
      <c r="B7" s="365"/>
      <c r="C7" s="365"/>
      <c r="D7" s="365"/>
      <c r="E7" s="365"/>
      <c r="F7" s="66"/>
      <c r="N7" s="63" t="s">
        <v>111</v>
      </c>
      <c r="O7" s="64"/>
      <c r="P7" s="64"/>
      <c r="Q7" s="64"/>
      <c r="R7" s="64"/>
      <c r="S7" s="65"/>
    </row>
    <row r="8" spans="1:22">
      <c r="B8" s="365"/>
      <c r="C8" s="365"/>
      <c r="D8" s="365"/>
      <c r="E8" s="365"/>
      <c r="F8" s="66"/>
      <c r="N8" s="60" t="s">
        <v>44</v>
      </c>
      <c r="O8" s="61"/>
      <c r="P8" s="61" t="s">
        <v>45</v>
      </c>
      <c r="Q8" s="61"/>
      <c r="R8" s="61" t="s">
        <v>112</v>
      </c>
      <c r="S8" s="62"/>
    </row>
    <row r="9" spans="1:22">
      <c r="B9" s="24" t="s">
        <v>113</v>
      </c>
      <c r="C9" s="53"/>
      <c r="D9" s="53"/>
      <c r="E9" s="53"/>
      <c r="F9" s="53"/>
      <c r="N9" s="195">
        <f>SUM(O:O)</f>
        <v>2296.8130000000001</v>
      </c>
      <c r="O9" s="196"/>
      <c r="P9" s="196">
        <f>SUM(Q:Q)</f>
        <v>3059.163</v>
      </c>
      <c r="Q9" s="196"/>
      <c r="R9" s="197">
        <f>ROUND(SUM(S:S),0)</f>
        <v>2678</v>
      </c>
      <c r="S9" s="198"/>
    </row>
    <row r="11" spans="1:22" ht="25.5" customHeight="1">
      <c r="B11" s="58" t="s">
        <v>114</v>
      </c>
      <c r="C11" s="314" t="s">
        <v>115</v>
      </c>
      <c r="D11" s="314" t="s">
        <v>116</v>
      </c>
      <c r="E11" s="314" t="s">
        <v>117</v>
      </c>
      <c r="F11" s="379" t="s">
        <v>118</v>
      </c>
      <c r="G11" s="324" t="s">
        <v>119</v>
      </c>
      <c r="H11" s="324" t="s">
        <v>120</v>
      </c>
      <c r="I11" s="324" t="s">
        <v>121</v>
      </c>
      <c r="J11" s="324" t="s">
        <v>43</v>
      </c>
      <c r="K11" s="324" t="s">
        <v>44</v>
      </c>
      <c r="L11" s="324" t="s">
        <v>45</v>
      </c>
      <c r="M11" s="324" t="s">
        <v>122</v>
      </c>
      <c r="N11" s="325" t="s">
        <v>123</v>
      </c>
      <c r="O11" s="325"/>
      <c r="P11" s="325"/>
      <c r="Q11" s="325"/>
      <c r="R11" s="325"/>
      <c r="S11" s="325"/>
      <c r="T11" s="326" t="s">
        <v>124</v>
      </c>
    </row>
    <row r="12" spans="1:22">
      <c r="B12" s="54"/>
      <c r="C12" s="55" t="s">
        <v>125</v>
      </c>
      <c r="D12" s="55" t="s">
        <v>126</v>
      </c>
      <c r="E12" s="55" t="s">
        <v>125</v>
      </c>
      <c r="F12" s="380"/>
      <c r="G12" s="56" t="s">
        <v>127</v>
      </c>
      <c r="H12" s="56" t="s">
        <v>128</v>
      </c>
      <c r="I12" s="56" t="s">
        <v>125</v>
      </c>
      <c r="J12" s="56" t="s">
        <v>126</v>
      </c>
      <c r="K12" s="56" t="s">
        <v>125</v>
      </c>
      <c r="L12" s="56" t="s">
        <v>125</v>
      </c>
      <c r="M12" s="56" t="s">
        <v>125</v>
      </c>
      <c r="N12" s="59" t="s">
        <v>44</v>
      </c>
      <c r="O12" s="59"/>
      <c r="P12" s="59" t="s">
        <v>45</v>
      </c>
      <c r="Q12" s="59"/>
      <c r="R12" s="59" t="s">
        <v>112</v>
      </c>
      <c r="S12" s="59"/>
      <c r="T12" s="57" t="s">
        <v>126</v>
      </c>
    </row>
    <row r="13" spans="1:22" ht="52">
      <c r="A13" s="23"/>
      <c r="B13" s="34" t="s">
        <v>129</v>
      </c>
      <c r="C13" s="314" t="s">
        <v>115</v>
      </c>
      <c r="D13" s="314" t="s">
        <v>116</v>
      </c>
      <c r="E13" s="314" t="s">
        <v>117</v>
      </c>
      <c r="F13" s="231" t="s">
        <v>118</v>
      </c>
      <c r="G13" s="324" t="s">
        <v>119</v>
      </c>
      <c r="H13" s="324" t="s">
        <v>120</v>
      </c>
      <c r="I13" s="324" t="s">
        <v>121</v>
      </c>
      <c r="J13" s="324" t="s">
        <v>43</v>
      </c>
      <c r="K13" s="324" t="s">
        <v>44</v>
      </c>
      <c r="L13" s="324" t="s">
        <v>45</v>
      </c>
      <c r="M13" s="324" t="s">
        <v>122</v>
      </c>
      <c r="N13" s="191" t="s">
        <v>130</v>
      </c>
      <c r="O13" s="59" t="s">
        <v>44</v>
      </c>
      <c r="P13" s="191" t="s">
        <v>130</v>
      </c>
      <c r="Q13" s="59" t="s">
        <v>45</v>
      </c>
      <c r="R13" s="191" t="s">
        <v>130</v>
      </c>
      <c r="S13" s="59" t="s">
        <v>112</v>
      </c>
      <c r="T13" s="44"/>
    </row>
    <row r="14" spans="1:22" ht="21">
      <c r="A14" s="23"/>
      <c r="B14" s="247" t="s">
        <v>129</v>
      </c>
      <c r="C14" s="248"/>
      <c r="D14" s="249"/>
      <c r="E14" s="255" t="s">
        <v>131</v>
      </c>
      <c r="F14" s="255"/>
      <c r="G14" s="249"/>
      <c r="H14" s="248"/>
      <c r="I14" s="248" t="s">
        <v>132</v>
      </c>
      <c r="J14" s="248"/>
      <c r="K14" s="250"/>
      <c r="L14" s="250"/>
      <c r="M14" s="251">
        <v>1</v>
      </c>
      <c r="N14" s="253"/>
      <c r="O14" s="253" t="str">
        <f t="shared" ref="O14:O18" si="0">IF(AND($I14="In",ISNUMBER($K14)),$M14*$K14,"")</f>
        <v/>
      </c>
      <c r="P14" s="253"/>
      <c r="Q14" s="253" t="str">
        <f t="shared" ref="Q14:Q27" si="1">IF(AND($I14="In",ISNUMBER($L14)),$M14*$L14,"")</f>
        <v/>
      </c>
      <c r="R14" s="253"/>
      <c r="S14" s="253" t="str">
        <f t="shared" ref="S14:S130" si="2">IF(AND(ISNUMBER(O14),ISNUMBER(Q14)),ROUND((O14+Q14)/2, 1),"")</f>
        <v/>
      </c>
      <c r="T14" s="254"/>
    </row>
    <row r="15" spans="1:22" ht="21">
      <c r="A15" s="23"/>
      <c r="B15" s="34"/>
      <c r="C15" s="35"/>
      <c r="D15" s="36"/>
      <c r="E15" s="255" t="s">
        <v>133</v>
      </c>
      <c r="F15" s="36"/>
      <c r="G15" s="36"/>
      <c r="H15" s="35"/>
      <c r="I15" s="272"/>
      <c r="J15" s="35"/>
      <c r="K15" s="159"/>
      <c r="L15" s="159"/>
      <c r="M15" s="160"/>
      <c r="N15" s="191"/>
      <c r="O15" s="190" t="str">
        <f t="shared" si="0"/>
        <v/>
      </c>
      <c r="P15" s="191"/>
      <c r="Q15" s="190" t="str">
        <f t="shared" si="1"/>
        <v/>
      </c>
      <c r="R15" s="191"/>
      <c r="S15" s="190" t="str">
        <f t="shared" ref="S15" si="3">IF(AND(ISNUMBER(O15),ISNUMBER(Q15)),ROUND((O15+Q15)/2, 1),"")</f>
        <v/>
      </c>
      <c r="T15" s="44"/>
    </row>
    <row r="16" spans="1:22">
      <c r="A16" s="23"/>
      <c r="B16" s="34"/>
      <c r="C16" s="36" t="s">
        <v>28</v>
      </c>
      <c r="D16" s="36" t="s">
        <v>28</v>
      </c>
      <c r="E16" s="36" t="s">
        <v>134</v>
      </c>
      <c r="F16" s="36" t="s">
        <v>135</v>
      </c>
      <c r="G16" s="36" t="s">
        <v>136</v>
      </c>
      <c r="H16" s="35"/>
      <c r="I16" s="272" t="s">
        <v>137</v>
      </c>
      <c r="J16" s="35"/>
      <c r="K16" s="159">
        <v>4</v>
      </c>
      <c r="L16" s="159">
        <v>6</v>
      </c>
      <c r="M16" s="160">
        <v>1</v>
      </c>
      <c r="N16" s="191"/>
      <c r="O16" s="190" t="str">
        <f t="shared" si="0"/>
        <v/>
      </c>
      <c r="P16" s="191"/>
      <c r="Q16" s="190" t="str">
        <f t="shared" si="1"/>
        <v/>
      </c>
      <c r="R16" s="191"/>
      <c r="S16" s="190" t="str">
        <f t="shared" si="2"/>
        <v/>
      </c>
      <c r="T16" s="44"/>
    </row>
    <row r="17" spans="1:20">
      <c r="A17" s="23"/>
      <c r="B17" s="34"/>
      <c r="C17" s="36" t="s">
        <v>28</v>
      </c>
      <c r="D17" s="36" t="s">
        <v>28</v>
      </c>
      <c r="E17" s="36" t="s">
        <v>138</v>
      </c>
      <c r="F17" s="36" t="s">
        <v>135</v>
      </c>
      <c r="G17" s="36" t="s">
        <v>136</v>
      </c>
      <c r="H17" s="35"/>
      <c r="I17" s="272" t="s">
        <v>137</v>
      </c>
      <c r="J17" s="35"/>
      <c r="K17" s="159">
        <v>3</v>
      </c>
      <c r="L17" s="159">
        <v>5</v>
      </c>
      <c r="M17" s="160">
        <v>1</v>
      </c>
      <c r="N17" s="191"/>
      <c r="O17" s="190" t="str">
        <f t="shared" si="0"/>
        <v/>
      </c>
      <c r="P17" s="191"/>
      <c r="Q17" s="190" t="str">
        <f t="shared" si="1"/>
        <v/>
      </c>
      <c r="R17" s="191"/>
      <c r="S17" s="190" t="str">
        <f t="shared" si="2"/>
        <v/>
      </c>
      <c r="T17" s="44"/>
    </row>
    <row r="18" spans="1:20" ht="26">
      <c r="A18" s="23"/>
      <c r="B18" s="34"/>
      <c r="C18" s="36" t="s">
        <v>28</v>
      </c>
      <c r="D18" s="36" t="s">
        <v>28</v>
      </c>
      <c r="E18" s="36" t="s">
        <v>139</v>
      </c>
      <c r="F18" s="36" t="s">
        <v>135</v>
      </c>
      <c r="G18" s="36" t="s">
        <v>140</v>
      </c>
      <c r="H18" s="35"/>
      <c r="I18" s="35" t="s">
        <v>137</v>
      </c>
      <c r="J18" s="35"/>
      <c r="K18" s="159">
        <v>15</v>
      </c>
      <c r="L18" s="159">
        <v>25</v>
      </c>
      <c r="M18" s="160">
        <v>1</v>
      </c>
      <c r="N18" s="191"/>
      <c r="O18" s="190" t="str">
        <f t="shared" si="0"/>
        <v/>
      </c>
      <c r="P18" s="191"/>
      <c r="Q18" s="190" t="str">
        <f t="shared" si="1"/>
        <v/>
      </c>
      <c r="R18" s="191"/>
      <c r="S18" s="190" t="str">
        <f t="shared" si="2"/>
        <v/>
      </c>
      <c r="T18" s="44" t="s">
        <v>141</v>
      </c>
    </row>
    <row r="19" spans="1:20" ht="39">
      <c r="A19" s="23"/>
      <c r="B19" s="34" t="s">
        <v>129</v>
      </c>
      <c r="C19" s="35" t="s">
        <v>33</v>
      </c>
      <c r="D19" s="36" t="s">
        <v>33</v>
      </c>
      <c r="E19" s="36" t="s">
        <v>142</v>
      </c>
      <c r="F19" s="36" t="s">
        <v>135</v>
      </c>
      <c r="G19" s="36" t="s">
        <v>143</v>
      </c>
      <c r="H19" s="35"/>
      <c r="I19" s="35" t="s">
        <v>137</v>
      </c>
      <c r="J19" s="35"/>
      <c r="K19" s="159">
        <v>1</v>
      </c>
      <c r="L19" s="159">
        <v>2</v>
      </c>
      <c r="M19" s="160">
        <v>1</v>
      </c>
      <c r="N19" s="191"/>
      <c r="O19" s="190" t="str">
        <f t="shared" ref="O19:O24" si="4">IF(AND($I19="In",ISNUMBER($K19)),$M19*$K19,"")</f>
        <v/>
      </c>
      <c r="P19" s="191"/>
      <c r="Q19" s="190" t="str">
        <f t="shared" si="1"/>
        <v/>
      </c>
      <c r="R19" s="191"/>
      <c r="S19" s="190" t="str">
        <f t="shared" si="2"/>
        <v/>
      </c>
      <c r="T19" s="44" t="s">
        <v>144</v>
      </c>
    </row>
    <row r="20" spans="1:20" ht="26">
      <c r="A20" s="23"/>
      <c r="B20" s="34" t="s">
        <v>129</v>
      </c>
      <c r="C20" s="35" t="s">
        <v>33</v>
      </c>
      <c r="D20" s="36" t="s">
        <v>33</v>
      </c>
      <c r="E20" s="36" t="s">
        <v>145</v>
      </c>
      <c r="F20" s="36" t="s">
        <v>135</v>
      </c>
      <c r="G20" s="36" t="s">
        <v>146</v>
      </c>
      <c r="H20" s="35"/>
      <c r="I20" s="35" t="s">
        <v>132</v>
      </c>
      <c r="J20" s="35"/>
      <c r="K20" s="159">
        <v>1</v>
      </c>
      <c r="L20" s="159">
        <v>2</v>
      </c>
      <c r="M20" s="160">
        <v>1</v>
      </c>
      <c r="N20" s="191"/>
      <c r="O20" s="190">
        <f t="shared" si="4"/>
        <v>1</v>
      </c>
      <c r="P20" s="191"/>
      <c r="Q20" s="190">
        <f t="shared" si="1"/>
        <v>2</v>
      </c>
      <c r="R20" s="191"/>
      <c r="S20" s="190">
        <f t="shared" si="2"/>
        <v>1.5</v>
      </c>
      <c r="T20" s="44"/>
    </row>
    <row r="21" spans="1:20">
      <c r="A21" s="23"/>
      <c r="B21" s="34"/>
      <c r="C21" s="35" t="s">
        <v>33</v>
      </c>
      <c r="D21" s="36" t="s">
        <v>33</v>
      </c>
      <c r="E21" s="36" t="s">
        <v>147</v>
      </c>
      <c r="F21" s="36" t="s">
        <v>135</v>
      </c>
      <c r="G21" s="36" t="s">
        <v>136</v>
      </c>
      <c r="H21" s="35"/>
      <c r="I21" s="35" t="s">
        <v>132</v>
      </c>
      <c r="J21" s="35"/>
      <c r="K21" s="159">
        <v>2</v>
      </c>
      <c r="L21" s="159">
        <v>4</v>
      </c>
      <c r="M21" s="160">
        <v>1</v>
      </c>
      <c r="N21" s="191"/>
      <c r="O21" s="190">
        <f t="shared" si="4"/>
        <v>2</v>
      </c>
      <c r="P21" s="191"/>
      <c r="Q21" s="190">
        <f t="shared" si="1"/>
        <v>4</v>
      </c>
      <c r="R21" s="191"/>
      <c r="S21" s="190">
        <f t="shared" si="2"/>
        <v>3</v>
      </c>
      <c r="T21" s="44"/>
    </row>
    <row r="22" spans="1:20" ht="26">
      <c r="A22" s="23"/>
      <c r="B22" s="34"/>
      <c r="C22" s="35" t="s">
        <v>33</v>
      </c>
      <c r="D22" s="36" t="s">
        <v>33</v>
      </c>
      <c r="E22" s="36" t="s">
        <v>148</v>
      </c>
      <c r="F22" s="36" t="s">
        <v>149</v>
      </c>
      <c r="G22" s="36" t="s">
        <v>150</v>
      </c>
      <c r="H22" s="35"/>
      <c r="I22" s="35" t="s">
        <v>137</v>
      </c>
      <c r="J22" s="35"/>
      <c r="K22" s="159">
        <v>2</v>
      </c>
      <c r="L22" s="159">
        <v>3</v>
      </c>
      <c r="M22" s="160">
        <v>1</v>
      </c>
      <c r="N22" s="191"/>
      <c r="O22" s="190" t="str">
        <f t="shared" si="4"/>
        <v/>
      </c>
      <c r="P22" s="191"/>
      <c r="Q22" s="190" t="str">
        <f t="shared" si="1"/>
        <v/>
      </c>
      <c r="R22" s="191"/>
      <c r="S22" s="190" t="str">
        <f t="shared" si="2"/>
        <v/>
      </c>
      <c r="T22" s="44"/>
    </row>
    <row r="23" spans="1:20">
      <c r="A23" s="23"/>
      <c r="B23" s="34"/>
      <c r="C23" s="36" t="s">
        <v>28</v>
      </c>
      <c r="D23" s="36" t="s">
        <v>28</v>
      </c>
      <c r="E23" s="36" t="s">
        <v>151</v>
      </c>
      <c r="F23" s="36" t="s">
        <v>135</v>
      </c>
      <c r="G23" s="36"/>
      <c r="H23" s="35"/>
      <c r="I23" s="35" t="s">
        <v>137</v>
      </c>
      <c r="J23" s="35"/>
      <c r="K23" s="159">
        <v>3</v>
      </c>
      <c r="L23" s="159">
        <v>5</v>
      </c>
      <c r="M23" s="160">
        <v>1</v>
      </c>
      <c r="N23" s="191"/>
      <c r="O23" s="190" t="str">
        <f t="shared" si="4"/>
        <v/>
      </c>
      <c r="P23" s="191"/>
      <c r="Q23" s="190" t="str">
        <f t="shared" si="1"/>
        <v/>
      </c>
      <c r="R23" s="191"/>
      <c r="S23" s="190" t="str">
        <f t="shared" ref="S23" si="5">IF(AND(ISNUMBER(O23),ISNUMBER(Q23)),ROUND((O23+Q23)/2, 1),"")</f>
        <v/>
      </c>
      <c r="T23" s="44"/>
    </row>
    <row r="24" spans="1:20">
      <c r="A24" s="23"/>
      <c r="B24" s="34"/>
      <c r="C24" s="35" t="s">
        <v>33</v>
      </c>
      <c r="D24" s="36" t="s">
        <v>33</v>
      </c>
      <c r="E24" s="36" t="s">
        <v>152</v>
      </c>
      <c r="F24" s="36" t="s">
        <v>135</v>
      </c>
      <c r="G24" s="36"/>
      <c r="H24" s="35" t="s">
        <v>153</v>
      </c>
      <c r="I24" s="35" t="s">
        <v>132</v>
      </c>
      <c r="J24" s="35"/>
      <c r="K24" s="159">
        <v>2</v>
      </c>
      <c r="L24" s="159">
        <v>3</v>
      </c>
      <c r="M24" s="160">
        <v>1</v>
      </c>
      <c r="N24" s="191"/>
      <c r="O24" s="190">
        <f t="shared" si="4"/>
        <v>2</v>
      </c>
      <c r="P24" s="191"/>
      <c r="Q24" s="190">
        <f t="shared" si="1"/>
        <v>3</v>
      </c>
      <c r="R24" s="191"/>
      <c r="S24" s="190">
        <f t="shared" si="2"/>
        <v>2.5</v>
      </c>
      <c r="T24" s="44" t="s">
        <v>154</v>
      </c>
    </row>
    <row r="25" spans="1:20">
      <c r="A25" s="23"/>
      <c r="B25" s="34"/>
      <c r="C25" s="35" t="s">
        <v>33</v>
      </c>
      <c r="D25" s="36" t="s">
        <v>33</v>
      </c>
      <c r="E25" s="36" t="s">
        <v>155</v>
      </c>
      <c r="F25" s="36" t="s">
        <v>135</v>
      </c>
      <c r="G25" s="36" t="s">
        <v>156</v>
      </c>
      <c r="H25" s="35"/>
      <c r="I25" s="272" t="s">
        <v>137</v>
      </c>
      <c r="J25" s="35"/>
      <c r="K25" s="159">
        <v>2</v>
      </c>
      <c r="L25" s="159">
        <v>3</v>
      </c>
      <c r="M25" s="160">
        <v>1</v>
      </c>
      <c r="N25" s="191"/>
      <c r="O25" s="190" t="str">
        <f>IF(AND($I25="In",ISNUMBER($K25)),$M25*$K25,"")</f>
        <v/>
      </c>
      <c r="P25" s="191"/>
      <c r="Q25" s="190" t="str">
        <f t="shared" si="1"/>
        <v/>
      </c>
      <c r="R25" s="191"/>
      <c r="S25" s="190" t="str">
        <f t="shared" ref="S25:S27" si="6">IF(AND(ISNUMBER(O25),ISNUMBER(Q25)),ROUND((O25+Q25)/2, 1),"")</f>
        <v/>
      </c>
      <c r="T25" s="44"/>
    </row>
    <row r="26" spans="1:20" ht="26">
      <c r="A26" s="23"/>
      <c r="B26" s="34" t="s">
        <v>129</v>
      </c>
      <c r="C26" s="35" t="s">
        <v>32</v>
      </c>
      <c r="D26" s="36" t="s">
        <v>32</v>
      </c>
      <c r="E26" s="36" t="s">
        <v>157</v>
      </c>
      <c r="F26" s="36" t="s">
        <v>135</v>
      </c>
      <c r="G26" s="36" t="s">
        <v>158</v>
      </c>
      <c r="H26" s="35"/>
      <c r="I26" s="35" t="s">
        <v>132</v>
      </c>
      <c r="J26" s="35"/>
      <c r="K26" s="159">
        <v>3</v>
      </c>
      <c r="L26" s="159">
        <v>5</v>
      </c>
      <c r="M26" s="160">
        <v>1</v>
      </c>
      <c r="N26" s="191"/>
      <c r="O26" s="190">
        <f t="shared" ref="O26:O27" si="7">IF(AND($I26="In",ISNUMBER($K26)),$M26*$K26,"")</f>
        <v>3</v>
      </c>
      <c r="P26" s="191"/>
      <c r="Q26" s="190">
        <f t="shared" si="1"/>
        <v>5</v>
      </c>
      <c r="R26" s="191"/>
      <c r="S26" s="190">
        <f t="shared" si="6"/>
        <v>4</v>
      </c>
      <c r="T26" s="44"/>
    </row>
    <row r="27" spans="1:20" ht="26">
      <c r="A27" s="23"/>
      <c r="B27" s="34" t="s">
        <v>129</v>
      </c>
      <c r="C27" s="35" t="s">
        <v>32</v>
      </c>
      <c r="D27" s="36" t="s">
        <v>32</v>
      </c>
      <c r="E27" s="36" t="s">
        <v>159</v>
      </c>
      <c r="F27" s="36" t="s">
        <v>135</v>
      </c>
      <c r="G27" s="36" t="s">
        <v>160</v>
      </c>
      <c r="H27" s="35"/>
      <c r="I27" s="35" t="s">
        <v>132</v>
      </c>
      <c r="J27" s="35"/>
      <c r="K27" s="159">
        <v>2</v>
      </c>
      <c r="L27" s="159">
        <v>3</v>
      </c>
      <c r="M27" s="160">
        <v>1</v>
      </c>
      <c r="N27" s="191"/>
      <c r="O27" s="190">
        <f t="shared" si="7"/>
        <v>2</v>
      </c>
      <c r="P27" s="191"/>
      <c r="Q27" s="190">
        <f t="shared" si="1"/>
        <v>3</v>
      </c>
      <c r="R27" s="191"/>
      <c r="S27" s="190">
        <f t="shared" si="6"/>
        <v>2.5</v>
      </c>
      <c r="T27" s="44"/>
    </row>
    <row r="28" spans="1:20">
      <c r="A28" s="23"/>
      <c r="B28" s="34"/>
      <c r="C28" s="36" t="s">
        <v>28</v>
      </c>
      <c r="D28" s="36" t="s">
        <v>32</v>
      </c>
      <c r="E28" s="36" t="s">
        <v>161</v>
      </c>
      <c r="F28" s="36" t="s">
        <v>135</v>
      </c>
      <c r="G28" s="36"/>
      <c r="H28" s="35"/>
      <c r="I28" s="272" t="s">
        <v>132</v>
      </c>
      <c r="J28" s="35"/>
      <c r="K28" s="159">
        <v>2</v>
      </c>
      <c r="L28" s="159">
        <v>3</v>
      </c>
      <c r="M28" s="160">
        <v>1</v>
      </c>
      <c r="N28" s="191"/>
      <c r="O28" s="190">
        <f t="shared" ref="O28:O31" si="8">IF(AND($I28="In",ISNUMBER($K28)),$M28*$K28,"")</f>
        <v>2</v>
      </c>
      <c r="P28" s="191"/>
      <c r="Q28" s="190">
        <f t="shared" ref="Q28:Q31" si="9">IF(AND($I28="In",ISNUMBER($L28)),$M28*$L28,"")</f>
        <v>3</v>
      </c>
      <c r="R28" s="191"/>
      <c r="S28" s="190">
        <f t="shared" ref="S28:S29" si="10">IF(AND(ISNUMBER(O28),ISNUMBER(Q28)),ROUND((O28+Q28)/2, 1),"")</f>
        <v>2.5</v>
      </c>
      <c r="T28" s="44"/>
    </row>
    <row r="29" spans="1:20" ht="39">
      <c r="A29" s="23"/>
      <c r="B29" s="34" t="s">
        <v>129</v>
      </c>
      <c r="C29" s="35" t="s">
        <v>33</v>
      </c>
      <c r="D29" s="36" t="s">
        <v>33</v>
      </c>
      <c r="E29" s="273" t="s">
        <v>162</v>
      </c>
      <c r="F29" s="36" t="s">
        <v>135</v>
      </c>
      <c r="G29" s="273" t="s">
        <v>163</v>
      </c>
      <c r="H29" s="35"/>
      <c r="I29" s="35" t="s">
        <v>137</v>
      </c>
      <c r="J29" s="35"/>
      <c r="K29" s="159">
        <v>5</v>
      </c>
      <c r="L29" s="159">
        <v>7</v>
      </c>
      <c r="M29" s="160">
        <v>1</v>
      </c>
      <c r="N29" s="191"/>
      <c r="O29" s="190" t="str">
        <f t="shared" si="8"/>
        <v/>
      </c>
      <c r="P29" s="191"/>
      <c r="Q29" s="190" t="str">
        <f t="shared" si="9"/>
        <v/>
      </c>
      <c r="R29" s="191"/>
      <c r="S29" s="190" t="str">
        <f t="shared" si="10"/>
        <v/>
      </c>
      <c r="T29" s="44" t="s">
        <v>164</v>
      </c>
    </row>
    <row r="30" spans="1:20" ht="26">
      <c r="A30" s="23"/>
      <c r="B30" s="34" t="s">
        <v>129</v>
      </c>
      <c r="C30" s="36" t="s">
        <v>28</v>
      </c>
      <c r="D30" s="36" t="s">
        <v>28</v>
      </c>
      <c r="E30" s="273" t="s">
        <v>165</v>
      </c>
      <c r="F30" s="36" t="s">
        <v>135</v>
      </c>
      <c r="G30" s="273" t="s">
        <v>166</v>
      </c>
      <c r="H30" s="35"/>
      <c r="I30" s="35" t="s">
        <v>132</v>
      </c>
      <c r="J30" s="35"/>
      <c r="K30" s="159">
        <v>5</v>
      </c>
      <c r="L30" s="159">
        <v>7</v>
      </c>
      <c r="M30" s="160">
        <v>1</v>
      </c>
      <c r="N30" s="191"/>
      <c r="O30" s="190">
        <f t="shared" si="8"/>
        <v>5</v>
      </c>
      <c r="P30" s="191"/>
      <c r="Q30" s="190">
        <f t="shared" si="9"/>
        <v>7</v>
      </c>
      <c r="R30" s="191"/>
      <c r="S30" s="190">
        <f t="shared" ref="S30" si="11">IF(AND(ISNUMBER(O30),ISNUMBER(Q30)),ROUND((O30+Q30)/2, 1),"")</f>
        <v>6</v>
      </c>
      <c r="T30" s="44"/>
    </row>
    <row r="31" spans="1:20" ht="26">
      <c r="A31" s="23"/>
      <c r="B31" s="34" t="s">
        <v>129</v>
      </c>
      <c r="C31" s="36" t="s">
        <v>28</v>
      </c>
      <c r="D31" s="36" t="s">
        <v>28</v>
      </c>
      <c r="E31" s="273" t="s">
        <v>167</v>
      </c>
      <c r="F31" s="36" t="s">
        <v>135</v>
      </c>
      <c r="G31" s="273" t="s">
        <v>168</v>
      </c>
      <c r="H31" s="35"/>
      <c r="I31" s="35" t="s">
        <v>132</v>
      </c>
      <c r="J31" s="35"/>
      <c r="K31" s="159">
        <v>5</v>
      </c>
      <c r="L31" s="159">
        <v>7</v>
      </c>
      <c r="M31" s="160">
        <v>1</v>
      </c>
      <c r="N31" s="191"/>
      <c r="O31" s="190">
        <f t="shared" si="8"/>
        <v>5</v>
      </c>
      <c r="P31" s="191"/>
      <c r="Q31" s="190">
        <f t="shared" si="9"/>
        <v>7</v>
      </c>
      <c r="R31" s="191"/>
      <c r="S31" s="190">
        <f t="shared" ref="S31" si="12">IF(AND(ISNUMBER(O31),ISNUMBER(Q31)),ROUND((O31+Q31)/2, 1),"")</f>
        <v>6</v>
      </c>
      <c r="T31" s="44"/>
    </row>
    <row r="32" spans="1:20" ht="26">
      <c r="A32" s="23"/>
      <c r="B32" s="34" t="s">
        <v>129</v>
      </c>
      <c r="C32" s="36" t="s">
        <v>28</v>
      </c>
      <c r="D32" s="36" t="s">
        <v>26</v>
      </c>
      <c r="E32" s="36" t="s">
        <v>169</v>
      </c>
      <c r="F32" s="36" t="s">
        <v>135</v>
      </c>
      <c r="G32" s="36" t="s">
        <v>170</v>
      </c>
      <c r="H32" s="35"/>
      <c r="I32" s="35" t="s">
        <v>137</v>
      </c>
      <c r="J32" s="35"/>
      <c r="K32" s="159">
        <v>5</v>
      </c>
      <c r="L32" s="159">
        <v>7</v>
      </c>
      <c r="M32" s="160">
        <v>1</v>
      </c>
      <c r="N32" s="191"/>
      <c r="O32" s="190" t="str">
        <f>IF(AND($I32="In",ISNUMBER($K32)),$M32*$K32,"")</f>
        <v/>
      </c>
      <c r="P32" s="191"/>
      <c r="Q32" s="190" t="str">
        <f>IF(AND($I32="In",ISNUMBER($L32)),$M32*$L32,"")</f>
        <v/>
      </c>
      <c r="R32" s="191"/>
      <c r="S32" s="190" t="str">
        <f>IF(AND(ISNUMBER(O32),ISNUMBER(Q32)),ROUND((O32+Q32)/2, 1),"")</f>
        <v/>
      </c>
      <c r="T32" s="44" t="s">
        <v>171</v>
      </c>
    </row>
    <row r="33" spans="1:20">
      <c r="A33" s="23"/>
      <c r="B33" s="34" t="s">
        <v>129</v>
      </c>
      <c r="C33" s="36" t="s">
        <v>28</v>
      </c>
      <c r="D33" s="36" t="s">
        <v>28</v>
      </c>
      <c r="E33" s="231" t="s">
        <v>172</v>
      </c>
      <c r="F33" s="36" t="s">
        <v>135</v>
      </c>
      <c r="G33" s="36"/>
      <c r="H33" s="35"/>
      <c r="I33" s="35" t="s">
        <v>132</v>
      </c>
      <c r="J33" s="35"/>
      <c r="K33" s="159"/>
      <c r="L33" s="159"/>
      <c r="M33" s="160">
        <v>1</v>
      </c>
      <c r="N33" s="191"/>
      <c r="O33" s="190" t="str">
        <f t="shared" ref="O33:O110" si="13">IF(AND($I33="In",ISNUMBER($K33)),$M33*$K33,"")</f>
        <v/>
      </c>
      <c r="P33" s="191"/>
      <c r="Q33" s="190" t="str">
        <f t="shared" ref="Q33:Q110" si="14">IF(AND($I33="In",ISNUMBER($L33)),$M33*$L33,"")</f>
        <v/>
      </c>
      <c r="R33" s="191"/>
      <c r="S33" s="190" t="str">
        <f t="shared" ref="S33:S110" si="15">IF(AND(ISNUMBER(O33),ISNUMBER(Q33)),ROUND((O33+Q33)/2, 1),"")</f>
        <v/>
      </c>
      <c r="T33" s="44"/>
    </row>
    <row r="34" spans="1:20" ht="39">
      <c r="A34" s="23"/>
      <c r="B34" s="34" t="s">
        <v>129</v>
      </c>
      <c r="C34" s="36" t="s">
        <v>28</v>
      </c>
      <c r="D34" s="36" t="s">
        <v>28</v>
      </c>
      <c r="E34" s="211" t="s">
        <v>173</v>
      </c>
      <c r="F34" s="36" t="s">
        <v>135</v>
      </c>
      <c r="G34" s="36" t="s">
        <v>174</v>
      </c>
      <c r="H34" s="35"/>
      <c r="I34" s="35" t="s">
        <v>137</v>
      </c>
      <c r="J34" s="35"/>
      <c r="K34" s="159">
        <v>3</v>
      </c>
      <c r="L34" s="159">
        <v>5</v>
      </c>
      <c r="M34" s="160">
        <v>1</v>
      </c>
      <c r="N34" s="191"/>
      <c r="O34" s="190" t="str">
        <f t="shared" si="13"/>
        <v/>
      </c>
      <c r="P34" s="191"/>
      <c r="Q34" s="190" t="str">
        <f t="shared" si="14"/>
        <v/>
      </c>
      <c r="R34" s="191"/>
      <c r="S34" s="190" t="str">
        <f t="shared" si="15"/>
        <v/>
      </c>
      <c r="T34" s="44"/>
    </row>
    <row r="35" spans="1:20">
      <c r="A35" s="23"/>
      <c r="B35" s="34" t="s">
        <v>129</v>
      </c>
      <c r="C35" s="36" t="s">
        <v>28</v>
      </c>
      <c r="D35" s="36" t="s">
        <v>28</v>
      </c>
      <c r="E35" s="246" t="s">
        <v>175</v>
      </c>
      <c r="F35" s="36" t="s">
        <v>135</v>
      </c>
      <c r="G35" s="36"/>
      <c r="H35" s="35"/>
      <c r="I35" s="35" t="s">
        <v>132</v>
      </c>
      <c r="J35" s="35"/>
      <c r="K35" s="159"/>
      <c r="L35" s="159"/>
      <c r="M35" s="160">
        <v>1</v>
      </c>
      <c r="N35" s="191"/>
      <c r="O35" s="190" t="str">
        <f t="shared" si="13"/>
        <v/>
      </c>
      <c r="P35" s="191"/>
      <c r="Q35" s="190" t="str">
        <f t="shared" si="14"/>
        <v/>
      </c>
      <c r="R35" s="191"/>
      <c r="S35" s="190" t="str">
        <f t="shared" si="15"/>
        <v/>
      </c>
      <c r="T35" s="44"/>
    </row>
    <row r="36" spans="1:20">
      <c r="A36" s="23"/>
      <c r="B36" s="34" t="s">
        <v>129</v>
      </c>
      <c r="C36" s="36" t="s">
        <v>28</v>
      </c>
      <c r="D36" s="36" t="s">
        <v>28</v>
      </c>
      <c r="E36" s="245" t="s">
        <v>176</v>
      </c>
      <c r="F36" s="36" t="s">
        <v>135</v>
      </c>
      <c r="G36" s="36"/>
      <c r="H36" s="35"/>
      <c r="I36" s="35" t="s">
        <v>132</v>
      </c>
      <c r="J36" s="35"/>
      <c r="K36" s="159">
        <v>4</v>
      </c>
      <c r="L36" s="159">
        <v>5</v>
      </c>
      <c r="M36" s="160">
        <v>1</v>
      </c>
      <c r="N36" s="191"/>
      <c r="O36" s="190">
        <f t="shared" si="13"/>
        <v>4</v>
      </c>
      <c r="P36" s="191"/>
      <c r="Q36" s="190">
        <f t="shared" si="14"/>
        <v>5</v>
      </c>
      <c r="R36" s="191"/>
      <c r="S36" s="190">
        <f t="shared" si="15"/>
        <v>4.5</v>
      </c>
      <c r="T36" s="44"/>
    </row>
    <row r="37" spans="1:20">
      <c r="A37" s="23"/>
      <c r="B37" s="34" t="s">
        <v>129</v>
      </c>
      <c r="C37" s="36" t="s">
        <v>28</v>
      </c>
      <c r="D37" s="36" t="s">
        <v>28</v>
      </c>
      <c r="E37" s="245" t="s">
        <v>177</v>
      </c>
      <c r="F37" s="36" t="s">
        <v>135</v>
      </c>
      <c r="G37" s="36"/>
      <c r="H37" s="35"/>
      <c r="I37" s="35" t="s">
        <v>132</v>
      </c>
      <c r="J37" s="35"/>
      <c r="K37" s="159">
        <v>3</v>
      </c>
      <c r="L37" s="159">
        <v>4</v>
      </c>
      <c r="M37" s="160">
        <v>1</v>
      </c>
      <c r="N37" s="191"/>
      <c r="O37" s="190">
        <f t="shared" si="13"/>
        <v>3</v>
      </c>
      <c r="P37" s="191"/>
      <c r="Q37" s="190">
        <f t="shared" si="14"/>
        <v>4</v>
      </c>
      <c r="R37" s="191"/>
      <c r="S37" s="190">
        <f t="shared" ref="S37" si="16">IF(AND(ISNUMBER(O37),ISNUMBER(Q37)),ROUND((O37+Q37)/2, 1),"")</f>
        <v>3.5</v>
      </c>
      <c r="T37" s="44"/>
    </row>
    <row r="38" spans="1:20">
      <c r="A38" s="23"/>
      <c r="B38" s="34" t="s">
        <v>129</v>
      </c>
      <c r="C38" s="36" t="s">
        <v>28</v>
      </c>
      <c r="D38" s="36" t="s">
        <v>28</v>
      </c>
      <c r="E38" s="245" t="s">
        <v>178</v>
      </c>
      <c r="F38" s="36" t="s">
        <v>135</v>
      </c>
      <c r="G38" s="36"/>
      <c r="H38" s="35"/>
      <c r="I38" s="35" t="s">
        <v>132</v>
      </c>
      <c r="J38" s="35"/>
      <c r="K38" s="159">
        <v>3</v>
      </c>
      <c r="L38" s="159">
        <v>5</v>
      </c>
      <c r="M38" s="160">
        <v>1</v>
      </c>
      <c r="N38" s="191"/>
      <c r="O38" s="190">
        <f t="shared" si="13"/>
        <v>3</v>
      </c>
      <c r="P38" s="191"/>
      <c r="Q38" s="190">
        <f t="shared" si="14"/>
        <v>5</v>
      </c>
      <c r="R38" s="191"/>
      <c r="S38" s="190">
        <f t="shared" ref="S38" si="17">IF(AND(ISNUMBER(O38),ISNUMBER(Q38)),ROUND((O38+Q38)/2, 1),"")</f>
        <v>4</v>
      </c>
      <c r="T38" s="44"/>
    </row>
    <row r="39" spans="1:20">
      <c r="A39" s="23"/>
      <c r="B39" s="34" t="s">
        <v>129</v>
      </c>
      <c r="C39" s="36" t="s">
        <v>28</v>
      </c>
      <c r="D39" s="36" t="s">
        <v>28</v>
      </c>
      <c r="E39" s="245" t="s">
        <v>179</v>
      </c>
      <c r="F39" s="36" t="s">
        <v>135</v>
      </c>
      <c r="G39" s="36"/>
      <c r="H39" s="35"/>
      <c r="I39" s="35" t="s">
        <v>132</v>
      </c>
      <c r="J39" s="35"/>
      <c r="K39" s="159">
        <v>2</v>
      </c>
      <c r="L39" s="159">
        <v>3</v>
      </c>
      <c r="M39" s="160">
        <v>1</v>
      </c>
      <c r="N39" s="191"/>
      <c r="O39" s="190">
        <f t="shared" si="13"/>
        <v>2</v>
      </c>
      <c r="P39" s="191"/>
      <c r="Q39" s="190">
        <f t="shared" si="14"/>
        <v>3</v>
      </c>
      <c r="R39" s="191"/>
      <c r="S39" s="190">
        <f t="shared" ref="S39" si="18">IF(AND(ISNUMBER(O39),ISNUMBER(Q39)),ROUND((O39+Q39)/2, 1),"")</f>
        <v>2.5</v>
      </c>
      <c r="T39" s="44"/>
    </row>
    <row r="40" spans="1:20" ht="26">
      <c r="A40" s="23"/>
      <c r="B40" s="34" t="s">
        <v>129</v>
      </c>
      <c r="C40" s="36" t="s">
        <v>28</v>
      </c>
      <c r="D40" s="36" t="s">
        <v>28</v>
      </c>
      <c r="E40" s="211" t="s">
        <v>180</v>
      </c>
      <c r="F40" s="36" t="s">
        <v>149</v>
      </c>
      <c r="G40" s="36"/>
      <c r="H40" s="35"/>
      <c r="I40" s="35" t="s">
        <v>132</v>
      </c>
      <c r="J40" s="35"/>
      <c r="K40" s="159">
        <v>2</v>
      </c>
      <c r="L40" s="159">
        <v>3</v>
      </c>
      <c r="M40" s="160">
        <v>1</v>
      </c>
      <c r="N40" s="191"/>
      <c r="O40" s="190">
        <f t="shared" si="13"/>
        <v>2</v>
      </c>
      <c r="P40" s="191"/>
      <c r="Q40" s="190">
        <f t="shared" si="14"/>
        <v>3</v>
      </c>
      <c r="R40" s="191"/>
      <c r="S40" s="190">
        <f t="shared" si="15"/>
        <v>2.5</v>
      </c>
      <c r="T40" s="44"/>
    </row>
    <row r="41" spans="1:20" ht="21">
      <c r="A41" s="303"/>
      <c r="B41" s="34"/>
      <c r="C41" s="35"/>
      <c r="D41" s="36"/>
      <c r="E41" s="255" t="s">
        <v>181</v>
      </c>
      <c r="F41" s="36" t="s">
        <v>135</v>
      </c>
      <c r="G41" s="36"/>
      <c r="H41" s="35"/>
      <c r="I41" s="272"/>
      <c r="J41" s="35"/>
      <c r="K41" s="159"/>
      <c r="L41" s="159"/>
      <c r="M41" s="160"/>
      <c r="N41" s="191"/>
      <c r="O41" s="190" t="str">
        <f>IF(AND($I41="In",ISNUMBER($K41)),$M41*$K41,"")</f>
        <v/>
      </c>
      <c r="P41" s="191"/>
      <c r="Q41" s="190" t="str">
        <f>IF(AND($I41="In",ISNUMBER($L41)),$M41*$L41,"")</f>
        <v/>
      </c>
      <c r="R41" s="191"/>
      <c r="S41" s="190" t="str">
        <f t="shared" ref="S41:S42" si="19">IF(AND(ISNUMBER(O41),ISNUMBER(Q41)),ROUND((O41+Q41)/2, 1),"")</f>
        <v/>
      </c>
      <c r="T41" s="44"/>
    </row>
    <row r="42" spans="1:20" ht="52">
      <c r="A42" s="303"/>
      <c r="B42" s="34"/>
      <c r="C42" s="35" t="s">
        <v>131</v>
      </c>
      <c r="D42" s="36" t="s">
        <v>24</v>
      </c>
      <c r="E42" s="36" t="s">
        <v>182</v>
      </c>
      <c r="F42" s="36" t="s">
        <v>135</v>
      </c>
      <c r="G42" s="36" t="s">
        <v>183</v>
      </c>
      <c r="H42" s="35"/>
      <c r="I42" s="35" t="s">
        <v>132</v>
      </c>
      <c r="J42" s="35"/>
      <c r="K42" s="159">
        <v>3</v>
      </c>
      <c r="L42" s="159">
        <v>5</v>
      </c>
      <c r="M42" s="160">
        <v>1</v>
      </c>
      <c r="N42" s="191"/>
      <c r="O42" s="190">
        <f t="shared" ref="O42" si="20">IF(AND($I42="In",ISNUMBER($K42)),$M42*$K42,"")</f>
        <v>3</v>
      </c>
      <c r="P42" s="191"/>
      <c r="Q42" s="190">
        <f t="shared" ref="Q42" si="21">IF(AND($I42="In",ISNUMBER($L42)),$M42*$L42,"")</f>
        <v>5</v>
      </c>
      <c r="R42" s="191"/>
      <c r="S42" s="190">
        <f t="shared" si="19"/>
        <v>4</v>
      </c>
      <c r="T42" s="44"/>
    </row>
    <row r="43" spans="1:20" ht="52">
      <c r="A43" s="303"/>
      <c r="B43" s="34"/>
      <c r="C43" s="35" t="s">
        <v>131</v>
      </c>
      <c r="D43" s="36" t="s">
        <v>24</v>
      </c>
      <c r="E43" s="36" t="s">
        <v>184</v>
      </c>
      <c r="F43" s="36" t="s">
        <v>135</v>
      </c>
      <c r="G43" s="36" t="s">
        <v>185</v>
      </c>
      <c r="H43" s="35"/>
      <c r="I43" s="35" t="s">
        <v>132</v>
      </c>
      <c r="J43" s="35"/>
      <c r="K43" s="159">
        <v>3</v>
      </c>
      <c r="L43" s="159">
        <v>5</v>
      </c>
      <c r="M43" s="160">
        <v>1</v>
      </c>
      <c r="N43" s="191"/>
      <c r="O43" s="190">
        <f t="shared" ref="O43:O104" si="22">IF(AND($I43="In",ISNUMBER($K43)),$M43*$K43,"")</f>
        <v>3</v>
      </c>
      <c r="P43" s="191"/>
      <c r="Q43" s="190">
        <f t="shared" ref="Q43:Q104" si="23">IF(AND($I43="In",ISNUMBER($L43)),$M43*$L43,"")</f>
        <v>5</v>
      </c>
      <c r="R43" s="191"/>
      <c r="S43" s="190">
        <f>IF(AND(ISNUMBER(O43),ISNUMBER(Q43)),ROUND((O43+Q43)/2, 1),"")</f>
        <v>4</v>
      </c>
      <c r="T43" s="44"/>
    </row>
    <row r="44" spans="1:20" ht="26">
      <c r="A44" s="23"/>
      <c r="B44" s="34"/>
      <c r="C44" s="35" t="s">
        <v>131</v>
      </c>
      <c r="D44" s="36" t="s">
        <v>30</v>
      </c>
      <c r="E44" s="36" t="s">
        <v>186</v>
      </c>
      <c r="F44" s="36" t="s">
        <v>135</v>
      </c>
      <c r="G44" s="36" t="s">
        <v>187</v>
      </c>
      <c r="H44" s="35"/>
      <c r="I44" s="35" t="s">
        <v>132</v>
      </c>
      <c r="J44" s="35"/>
      <c r="K44" s="159">
        <v>4</v>
      </c>
      <c r="L44" s="159">
        <v>6</v>
      </c>
      <c r="M44" s="160">
        <v>1</v>
      </c>
      <c r="N44" s="191"/>
      <c r="O44" s="190">
        <f t="shared" si="22"/>
        <v>4</v>
      </c>
      <c r="P44" s="191"/>
      <c r="Q44" s="190">
        <f t="shared" si="23"/>
        <v>6</v>
      </c>
      <c r="R44" s="191"/>
      <c r="S44" s="190">
        <f t="shared" ref="S44" si="24">IF(AND(ISNUMBER(O44),ISNUMBER(Q44)),ROUND((O44+Q44)/2, 1),"")</f>
        <v>5</v>
      </c>
      <c r="T44" s="44"/>
    </row>
    <row r="45" spans="1:20" ht="26">
      <c r="A45" s="23"/>
      <c r="B45" s="34"/>
      <c r="C45" s="35" t="s">
        <v>131</v>
      </c>
      <c r="D45" s="36" t="s">
        <v>30</v>
      </c>
      <c r="E45" s="36" t="s">
        <v>188</v>
      </c>
      <c r="F45" s="36" t="s">
        <v>135</v>
      </c>
      <c r="G45" s="36" t="s">
        <v>189</v>
      </c>
      <c r="H45" s="35"/>
      <c r="I45" s="35" t="s">
        <v>137</v>
      </c>
      <c r="J45" s="35"/>
      <c r="K45" s="159">
        <v>4</v>
      </c>
      <c r="L45" s="159">
        <v>7</v>
      </c>
      <c r="M45" s="160">
        <v>1</v>
      </c>
      <c r="N45" s="191"/>
      <c r="O45" s="190" t="str">
        <f t="shared" si="22"/>
        <v/>
      </c>
      <c r="P45" s="191"/>
      <c r="Q45" s="190" t="str">
        <f t="shared" si="23"/>
        <v/>
      </c>
      <c r="R45" s="191"/>
      <c r="S45" s="190" t="str">
        <f t="shared" ref="S45:S46" si="25">IF(AND(ISNUMBER(O45),ISNUMBER(Q45)),ROUND((O45+Q45)/2, 1),"")</f>
        <v/>
      </c>
      <c r="T45" s="44"/>
    </row>
    <row r="46" spans="1:20" ht="26">
      <c r="A46" s="23"/>
      <c r="B46" s="34"/>
      <c r="C46" s="35" t="s">
        <v>131</v>
      </c>
      <c r="D46" s="36" t="s">
        <v>33</v>
      </c>
      <c r="E46" s="36" t="s">
        <v>190</v>
      </c>
      <c r="F46" s="36" t="s">
        <v>135</v>
      </c>
      <c r="G46" s="36" t="s">
        <v>191</v>
      </c>
      <c r="H46" s="35"/>
      <c r="I46" s="35" t="s">
        <v>137</v>
      </c>
      <c r="J46" s="35"/>
      <c r="K46" s="159">
        <v>2</v>
      </c>
      <c r="L46" s="159">
        <v>3</v>
      </c>
      <c r="M46" s="160">
        <v>1</v>
      </c>
      <c r="N46" s="191"/>
      <c r="O46" s="190" t="str">
        <f>IF(AND($I46="In",ISNUMBER($K46)),$M46*$K46,"")</f>
        <v/>
      </c>
      <c r="P46" s="191"/>
      <c r="Q46" s="190" t="str">
        <f>IF(AND($I46="In",ISNUMBER($L46)),$M46*$L46,"")</f>
        <v/>
      </c>
      <c r="R46" s="191"/>
      <c r="S46" s="190" t="str">
        <f t="shared" si="25"/>
        <v/>
      </c>
      <c r="T46" s="44" t="s">
        <v>192</v>
      </c>
    </row>
    <row r="47" spans="1:20" ht="26">
      <c r="A47" s="23"/>
      <c r="B47" s="34"/>
      <c r="C47" s="35" t="s">
        <v>131</v>
      </c>
      <c r="D47" s="36" t="s">
        <v>33</v>
      </c>
      <c r="E47" s="36" t="s">
        <v>193</v>
      </c>
      <c r="F47" s="36" t="s">
        <v>135</v>
      </c>
      <c r="G47" s="36" t="s">
        <v>191</v>
      </c>
      <c r="H47" s="35"/>
      <c r="I47" s="35" t="s">
        <v>132</v>
      </c>
      <c r="J47" s="35"/>
      <c r="K47" s="159">
        <v>4</v>
      </c>
      <c r="L47" s="159">
        <v>6</v>
      </c>
      <c r="M47" s="160">
        <v>1</v>
      </c>
      <c r="N47" s="191"/>
      <c r="O47" s="190">
        <f>IF(AND($I47="In",ISNUMBER($K47)),$M47*$K47,"")</f>
        <v>4</v>
      </c>
      <c r="P47" s="191"/>
      <c r="Q47" s="190">
        <f>IF(AND($I47="In",ISNUMBER($L47)),$M47*$L47,"")</f>
        <v>6</v>
      </c>
      <c r="R47" s="191"/>
      <c r="S47" s="190">
        <f t="shared" ref="S47" si="26">IF(AND(ISNUMBER(O47),ISNUMBER(Q47)),ROUND((O47+Q47)/2, 1),"")</f>
        <v>5</v>
      </c>
      <c r="T47" s="44"/>
    </row>
    <row r="48" spans="1:20" ht="21">
      <c r="A48" s="23"/>
      <c r="B48" s="34"/>
      <c r="C48" s="35" t="s">
        <v>131</v>
      </c>
      <c r="D48" s="36"/>
      <c r="E48" s="255" t="s">
        <v>194</v>
      </c>
      <c r="F48" s="36" t="s">
        <v>135</v>
      </c>
      <c r="G48" s="36"/>
      <c r="H48" s="35"/>
      <c r="I48" s="272"/>
      <c r="J48" s="35"/>
      <c r="K48" s="159"/>
      <c r="L48" s="159"/>
      <c r="M48" s="160"/>
      <c r="N48" s="191"/>
      <c r="O48" s="190" t="str">
        <f t="shared" si="22"/>
        <v/>
      </c>
      <c r="P48" s="191"/>
      <c r="Q48" s="190" t="str">
        <f t="shared" si="23"/>
        <v/>
      </c>
      <c r="R48" s="191"/>
      <c r="S48" s="190" t="str">
        <f t="shared" ref="S48" si="27">IF(AND(ISNUMBER(O48),ISNUMBER(Q48)),ROUND((O48+Q48)/2, 1),"")</f>
        <v/>
      </c>
      <c r="T48" s="44"/>
    </row>
    <row r="49" spans="1:20" ht="26">
      <c r="A49" s="23"/>
      <c r="B49" s="34" t="s">
        <v>129</v>
      </c>
      <c r="C49" s="35" t="s">
        <v>131</v>
      </c>
      <c r="D49" s="36" t="s">
        <v>28</v>
      </c>
      <c r="E49" s="231" t="s">
        <v>195</v>
      </c>
      <c r="F49" s="36" t="s">
        <v>135</v>
      </c>
      <c r="G49" s="36"/>
      <c r="H49" s="35"/>
      <c r="I49" s="35" t="s">
        <v>132</v>
      </c>
      <c r="J49" s="35"/>
      <c r="K49" s="159"/>
      <c r="L49" s="159"/>
      <c r="M49" s="160"/>
      <c r="N49" s="191"/>
      <c r="O49" s="190" t="str">
        <f t="shared" ref="O49:O66" si="28">IF(AND($I49="In",ISNUMBER($K49)),$M49*$K49,"")</f>
        <v/>
      </c>
      <c r="P49" s="191"/>
      <c r="Q49" s="190" t="str">
        <f t="shared" ref="Q49:Q66" si="29">IF(AND($I49="In",ISNUMBER($L49)),$M49*$L49,"")</f>
        <v/>
      </c>
      <c r="R49" s="191"/>
      <c r="S49" s="190" t="str">
        <f>IF(AND(ISNUMBER(O49),ISNUMBER(Q49)),ROUND((O49+Q49)/2, 1),"")</f>
        <v/>
      </c>
      <c r="T49" s="44"/>
    </row>
    <row r="50" spans="1:20" ht="39">
      <c r="A50" s="23"/>
      <c r="B50" s="34"/>
      <c r="C50" s="35" t="s">
        <v>131</v>
      </c>
      <c r="D50" s="36" t="s">
        <v>28</v>
      </c>
      <c r="E50" s="211" t="s">
        <v>196</v>
      </c>
      <c r="F50" s="36" t="s">
        <v>135</v>
      </c>
      <c r="G50" s="36" t="s">
        <v>197</v>
      </c>
      <c r="H50" s="35"/>
      <c r="I50" s="35" t="s">
        <v>132</v>
      </c>
      <c r="J50" s="35"/>
      <c r="K50" s="159">
        <v>1</v>
      </c>
      <c r="L50" s="159">
        <v>2</v>
      </c>
      <c r="M50" s="160">
        <v>1</v>
      </c>
      <c r="N50" s="191"/>
      <c r="O50" s="190">
        <f t="shared" si="28"/>
        <v>1</v>
      </c>
      <c r="P50" s="191"/>
      <c r="Q50" s="190">
        <f t="shared" si="29"/>
        <v>2</v>
      </c>
      <c r="R50" s="191"/>
      <c r="S50" s="190">
        <f t="shared" ref="S50:S57" si="30">IF(AND(ISNUMBER(O50),ISNUMBER(Q50)),ROUND((O50+Q50)/2, 1),"")</f>
        <v>1.5</v>
      </c>
      <c r="T50" s="44"/>
    </row>
    <row r="51" spans="1:20" ht="26">
      <c r="A51" s="23"/>
      <c r="B51" s="34"/>
      <c r="C51" s="35" t="s">
        <v>131</v>
      </c>
      <c r="D51" s="36" t="s">
        <v>28</v>
      </c>
      <c r="E51" s="211" t="s">
        <v>198</v>
      </c>
      <c r="F51" s="36" t="s">
        <v>135</v>
      </c>
      <c r="G51" s="36" t="s">
        <v>199</v>
      </c>
      <c r="H51" s="35"/>
      <c r="I51" s="35" t="s">
        <v>132</v>
      </c>
      <c r="J51" s="35"/>
      <c r="K51" s="159">
        <v>3</v>
      </c>
      <c r="L51" s="159">
        <v>5</v>
      </c>
      <c r="M51" s="160">
        <v>1</v>
      </c>
      <c r="N51" s="191"/>
      <c r="O51" s="190">
        <f t="shared" si="28"/>
        <v>3</v>
      </c>
      <c r="P51" s="191"/>
      <c r="Q51" s="190">
        <f t="shared" si="29"/>
        <v>5</v>
      </c>
      <c r="R51" s="191"/>
      <c r="S51" s="190">
        <f t="shared" si="30"/>
        <v>4</v>
      </c>
      <c r="T51" s="44"/>
    </row>
    <row r="52" spans="1:20">
      <c r="A52" s="23"/>
      <c r="B52" s="34"/>
      <c r="C52" s="35" t="s">
        <v>131</v>
      </c>
      <c r="D52" s="36" t="s">
        <v>28</v>
      </c>
      <c r="E52" s="211" t="s">
        <v>200</v>
      </c>
      <c r="F52" s="36" t="s">
        <v>135</v>
      </c>
      <c r="G52" s="36"/>
      <c r="H52" s="35"/>
      <c r="I52" s="35" t="s">
        <v>132</v>
      </c>
      <c r="J52" s="35"/>
      <c r="K52" s="159">
        <v>2</v>
      </c>
      <c r="L52" s="159">
        <v>4</v>
      </c>
      <c r="M52" s="160">
        <v>1</v>
      </c>
      <c r="N52" s="191"/>
      <c r="O52" s="190">
        <f t="shared" si="28"/>
        <v>2</v>
      </c>
      <c r="P52" s="191"/>
      <c r="Q52" s="190">
        <f t="shared" si="29"/>
        <v>4</v>
      </c>
      <c r="R52" s="191"/>
      <c r="S52" s="190">
        <f t="shared" ref="S52" si="31">IF(AND(ISNUMBER(O52),ISNUMBER(Q52)),ROUND((O52+Q52)/2, 1),"")</f>
        <v>3</v>
      </c>
      <c r="T52" s="44"/>
    </row>
    <row r="53" spans="1:20">
      <c r="A53" s="23"/>
      <c r="B53" s="34"/>
      <c r="C53" s="35" t="s">
        <v>131</v>
      </c>
      <c r="D53" s="36" t="s">
        <v>28</v>
      </c>
      <c r="E53" s="211" t="s">
        <v>201</v>
      </c>
      <c r="F53" s="36" t="s">
        <v>135</v>
      </c>
      <c r="G53" s="36" t="s">
        <v>202</v>
      </c>
      <c r="H53" s="35"/>
      <c r="I53" s="35" t="s">
        <v>132</v>
      </c>
      <c r="J53" s="35"/>
      <c r="K53" s="159">
        <v>1</v>
      </c>
      <c r="L53" s="159">
        <v>2</v>
      </c>
      <c r="M53" s="160">
        <v>1</v>
      </c>
      <c r="N53" s="191"/>
      <c r="O53" s="190">
        <f t="shared" si="28"/>
        <v>1</v>
      </c>
      <c r="P53" s="191"/>
      <c r="Q53" s="190">
        <f t="shared" si="29"/>
        <v>2</v>
      </c>
      <c r="R53" s="191"/>
      <c r="S53" s="190">
        <f t="shared" si="30"/>
        <v>1.5</v>
      </c>
      <c r="T53" s="44"/>
    </row>
    <row r="54" spans="1:20" ht="26">
      <c r="A54" s="23"/>
      <c r="B54" s="34" t="s">
        <v>129</v>
      </c>
      <c r="C54" s="35" t="s">
        <v>131</v>
      </c>
      <c r="D54" s="36" t="s">
        <v>28</v>
      </c>
      <c r="E54" s="211" t="s">
        <v>203</v>
      </c>
      <c r="F54" s="36" t="s">
        <v>135</v>
      </c>
      <c r="G54" s="36" t="s">
        <v>204</v>
      </c>
      <c r="H54" s="35"/>
      <c r="I54" s="35" t="s">
        <v>132</v>
      </c>
      <c r="J54" s="35"/>
      <c r="K54" s="159">
        <v>3</v>
      </c>
      <c r="L54" s="159">
        <v>5</v>
      </c>
      <c r="M54" s="160">
        <v>1</v>
      </c>
      <c r="N54" s="191"/>
      <c r="O54" s="190">
        <f t="shared" si="28"/>
        <v>3</v>
      </c>
      <c r="P54" s="191"/>
      <c r="Q54" s="190">
        <f t="shared" si="29"/>
        <v>5</v>
      </c>
      <c r="R54" s="191"/>
      <c r="S54" s="190">
        <f t="shared" si="30"/>
        <v>4</v>
      </c>
      <c r="T54" s="44"/>
    </row>
    <row r="55" spans="1:20">
      <c r="A55" s="23"/>
      <c r="B55" s="34"/>
      <c r="C55" s="35" t="s">
        <v>131</v>
      </c>
      <c r="D55" s="36" t="s">
        <v>28</v>
      </c>
      <c r="E55" s="211" t="s">
        <v>205</v>
      </c>
      <c r="F55" s="36" t="s">
        <v>135</v>
      </c>
      <c r="G55" s="36"/>
      <c r="H55" s="35"/>
      <c r="I55" s="35" t="s">
        <v>132</v>
      </c>
      <c r="J55" s="35"/>
      <c r="K55" s="159">
        <v>4</v>
      </c>
      <c r="L55" s="159">
        <v>7</v>
      </c>
      <c r="M55" s="160">
        <v>1</v>
      </c>
      <c r="N55" s="191"/>
      <c r="O55" s="190">
        <f t="shared" si="28"/>
        <v>4</v>
      </c>
      <c r="P55" s="191"/>
      <c r="Q55" s="190">
        <f t="shared" si="29"/>
        <v>7</v>
      </c>
      <c r="R55" s="191"/>
      <c r="S55" s="190">
        <f t="shared" si="30"/>
        <v>5.5</v>
      </c>
      <c r="T55" s="44"/>
    </row>
    <row r="56" spans="1:20" ht="39">
      <c r="A56" s="23"/>
      <c r="B56" s="34"/>
      <c r="C56" s="35" t="s">
        <v>131</v>
      </c>
      <c r="D56" s="36" t="s">
        <v>28</v>
      </c>
      <c r="E56" s="211" t="s">
        <v>206</v>
      </c>
      <c r="F56" s="36" t="s">
        <v>135</v>
      </c>
      <c r="G56" s="36" t="s">
        <v>207</v>
      </c>
      <c r="H56" s="258" t="s">
        <v>208</v>
      </c>
      <c r="I56" s="35" t="s">
        <v>132</v>
      </c>
      <c r="J56" s="35"/>
      <c r="K56" s="159">
        <v>1.5</v>
      </c>
      <c r="L56" s="159">
        <v>2.5</v>
      </c>
      <c r="M56" s="160">
        <v>4</v>
      </c>
      <c r="N56" s="191"/>
      <c r="O56" s="190">
        <f t="shared" si="28"/>
        <v>6</v>
      </c>
      <c r="P56" s="191"/>
      <c r="Q56" s="190">
        <f t="shared" si="29"/>
        <v>10</v>
      </c>
      <c r="R56" s="191"/>
      <c r="S56" s="190">
        <f t="shared" si="30"/>
        <v>8</v>
      </c>
      <c r="T56" s="44"/>
    </row>
    <row r="57" spans="1:20" ht="26">
      <c r="A57" s="23"/>
      <c r="B57" s="34"/>
      <c r="C57" s="35" t="s">
        <v>131</v>
      </c>
      <c r="D57" s="36" t="s">
        <v>28</v>
      </c>
      <c r="E57" s="211" t="s">
        <v>209</v>
      </c>
      <c r="F57" s="36" t="s">
        <v>149</v>
      </c>
      <c r="G57" s="36" t="s">
        <v>210</v>
      </c>
      <c r="H57" s="35"/>
      <c r="I57" s="35" t="s">
        <v>132</v>
      </c>
      <c r="J57" s="35"/>
      <c r="K57" s="159">
        <v>3</v>
      </c>
      <c r="L57" s="159">
        <v>5</v>
      </c>
      <c r="M57" s="160">
        <v>1</v>
      </c>
      <c r="N57" s="191"/>
      <c r="O57" s="190">
        <f t="shared" si="28"/>
        <v>3</v>
      </c>
      <c r="P57" s="191"/>
      <c r="Q57" s="190">
        <f t="shared" si="29"/>
        <v>5</v>
      </c>
      <c r="R57" s="191"/>
      <c r="S57" s="190">
        <f t="shared" si="30"/>
        <v>4</v>
      </c>
      <c r="T57" s="44"/>
    </row>
    <row r="58" spans="1:20">
      <c r="A58" s="23"/>
      <c r="B58" s="34" t="s">
        <v>129</v>
      </c>
      <c r="C58" s="35" t="s">
        <v>131</v>
      </c>
      <c r="D58" s="36" t="s">
        <v>28</v>
      </c>
      <c r="E58" s="211" t="s">
        <v>211</v>
      </c>
      <c r="F58" s="36" t="s">
        <v>135</v>
      </c>
      <c r="G58" s="36" t="s">
        <v>202</v>
      </c>
      <c r="H58" s="35"/>
      <c r="I58" s="35" t="s">
        <v>137</v>
      </c>
      <c r="J58" s="35"/>
      <c r="K58" s="159">
        <v>3</v>
      </c>
      <c r="L58" s="159">
        <v>6</v>
      </c>
      <c r="M58" s="160">
        <v>1</v>
      </c>
      <c r="N58" s="191"/>
      <c r="O58" s="190" t="str">
        <f t="shared" si="28"/>
        <v/>
      </c>
      <c r="P58" s="191"/>
      <c r="Q58" s="190" t="str">
        <f t="shared" si="29"/>
        <v/>
      </c>
      <c r="R58" s="191"/>
      <c r="S58" s="190" t="str">
        <f>IF(AND(ISNUMBER(O58),ISNUMBER(Q58)),ROUND((O58+Q58)/2, 1),"")</f>
        <v/>
      </c>
      <c r="T58" s="44"/>
    </row>
    <row r="59" spans="1:20" ht="39">
      <c r="A59" s="23"/>
      <c r="B59" s="34"/>
      <c r="C59" s="35" t="s">
        <v>131</v>
      </c>
      <c r="D59" s="36" t="s">
        <v>28</v>
      </c>
      <c r="E59" s="36" t="s">
        <v>212</v>
      </c>
      <c r="F59" s="36" t="s">
        <v>135</v>
      </c>
      <c r="G59" s="36" t="s">
        <v>213</v>
      </c>
      <c r="H59" s="35"/>
      <c r="I59" s="35" t="s">
        <v>132</v>
      </c>
      <c r="J59" s="35"/>
      <c r="K59" s="159">
        <v>3</v>
      </c>
      <c r="L59" s="159">
        <v>5</v>
      </c>
      <c r="M59" s="160">
        <v>1</v>
      </c>
      <c r="N59" s="191"/>
      <c r="O59" s="190">
        <f t="shared" si="28"/>
        <v>3</v>
      </c>
      <c r="P59" s="191"/>
      <c r="Q59" s="190">
        <f t="shared" si="29"/>
        <v>5</v>
      </c>
      <c r="R59" s="191"/>
      <c r="S59" s="190">
        <f t="shared" ref="S59" si="32">IF(AND(ISNUMBER(O59),ISNUMBER(Q59)),ROUND((O59+Q59)/2, 1),"")</f>
        <v>4</v>
      </c>
      <c r="T59" s="44"/>
    </row>
    <row r="60" spans="1:20" ht="26">
      <c r="A60" s="23"/>
      <c r="B60" s="34"/>
      <c r="C60" s="35" t="s">
        <v>131</v>
      </c>
      <c r="D60" s="36" t="s">
        <v>28</v>
      </c>
      <c r="E60" s="36" t="s">
        <v>214</v>
      </c>
      <c r="F60" s="36" t="s">
        <v>149</v>
      </c>
      <c r="G60" s="36" t="s">
        <v>215</v>
      </c>
      <c r="H60" s="35"/>
      <c r="I60" s="35" t="s">
        <v>132</v>
      </c>
      <c r="J60" s="35"/>
      <c r="K60" s="159">
        <v>3</v>
      </c>
      <c r="L60" s="159">
        <v>5</v>
      </c>
      <c r="M60" s="160">
        <v>1</v>
      </c>
      <c r="N60" s="191"/>
      <c r="O60" s="190">
        <f t="shared" si="28"/>
        <v>3</v>
      </c>
      <c r="P60" s="191"/>
      <c r="Q60" s="190">
        <f t="shared" si="29"/>
        <v>5</v>
      </c>
      <c r="R60" s="191"/>
      <c r="S60" s="190">
        <f t="shared" ref="S60" si="33">IF(AND(ISNUMBER(O60),ISNUMBER(Q60)),ROUND((O60+Q60)/2, 1),"")</f>
        <v>4</v>
      </c>
      <c r="T60" s="44"/>
    </row>
    <row r="61" spans="1:20" ht="26">
      <c r="A61" s="23"/>
      <c r="B61" s="34"/>
      <c r="C61" s="35" t="s">
        <v>131</v>
      </c>
      <c r="D61" s="36" t="s">
        <v>33</v>
      </c>
      <c r="E61" s="36" t="s">
        <v>216</v>
      </c>
      <c r="F61" s="36" t="s">
        <v>149</v>
      </c>
      <c r="G61" s="36" t="s">
        <v>217</v>
      </c>
      <c r="H61" s="35"/>
      <c r="I61" s="35" t="s">
        <v>132</v>
      </c>
      <c r="J61" s="35"/>
      <c r="K61" s="159">
        <v>3</v>
      </c>
      <c r="L61" s="159">
        <v>5</v>
      </c>
      <c r="M61" s="160">
        <v>1</v>
      </c>
      <c r="N61" s="191"/>
      <c r="O61" s="190">
        <f t="shared" si="28"/>
        <v>3</v>
      </c>
      <c r="P61" s="191"/>
      <c r="Q61" s="190">
        <f t="shared" si="29"/>
        <v>5</v>
      </c>
      <c r="R61" s="191"/>
      <c r="S61" s="190">
        <f t="shared" ref="S61" si="34">IF(AND(ISNUMBER(O61),ISNUMBER(Q61)),ROUND((O61+Q61)/2, 1),"")</f>
        <v>4</v>
      </c>
      <c r="T61" s="44"/>
    </row>
    <row r="62" spans="1:20" ht="26">
      <c r="A62" s="23"/>
      <c r="B62" s="34"/>
      <c r="C62" s="35" t="s">
        <v>131</v>
      </c>
      <c r="D62" s="36" t="s">
        <v>28</v>
      </c>
      <c r="E62" s="36" t="s">
        <v>218</v>
      </c>
      <c r="F62" s="36" t="s">
        <v>149</v>
      </c>
      <c r="G62" s="36" t="s">
        <v>202</v>
      </c>
      <c r="H62" s="35"/>
      <c r="I62" s="35" t="s">
        <v>132</v>
      </c>
      <c r="J62" s="35"/>
      <c r="K62" s="159">
        <v>3</v>
      </c>
      <c r="L62" s="159">
        <v>5</v>
      </c>
      <c r="M62" s="160">
        <v>1</v>
      </c>
      <c r="N62" s="191"/>
      <c r="O62" s="190">
        <f t="shared" si="28"/>
        <v>3</v>
      </c>
      <c r="P62" s="191"/>
      <c r="Q62" s="190">
        <f t="shared" si="29"/>
        <v>5</v>
      </c>
      <c r="R62" s="191"/>
      <c r="S62" s="190">
        <f t="shared" ref="S62:S64" si="35">IF(AND(ISNUMBER(O62),ISNUMBER(Q62)),ROUND((O62+Q62)/2, 1),"")</f>
        <v>4</v>
      </c>
      <c r="T62" s="44"/>
    </row>
    <row r="63" spans="1:20" ht="26">
      <c r="A63" s="23"/>
      <c r="B63" s="34"/>
      <c r="C63" s="35" t="s">
        <v>131</v>
      </c>
      <c r="D63" s="36" t="s">
        <v>28</v>
      </c>
      <c r="E63" s="36" t="s">
        <v>151</v>
      </c>
      <c r="F63" s="36" t="s">
        <v>149</v>
      </c>
      <c r="G63" s="36"/>
      <c r="H63" s="35"/>
      <c r="I63" s="35" t="s">
        <v>137</v>
      </c>
      <c r="J63" s="35"/>
      <c r="K63" s="159">
        <v>8</v>
      </c>
      <c r="L63" s="159">
        <v>10</v>
      </c>
      <c r="M63" s="160">
        <v>1</v>
      </c>
      <c r="N63" s="191"/>
      <c r="O63" s="190" t="str">
        <f t="shared" si="28"/>
        <v/>
      </c>
      <c r="P63" s="191"/>
      <c r="Q63" s="190" t="str">
        <f t="shared" si="29"/>
        <v/>
      </c>
      <c r="R63" s="191"/>
      <c r="S63" s="190" t="str">
        <f t="shared" si="35"/>
        <v/>
      </c>
      <c r="T63" s="44"/>
    </row>
    <row r="64" spans="1:20" ht="39">
      <c r="A64" s="23"/>
      <c r="B64" s="34"/>
      <c r="C64" s="35" t="s">
        <v>131</v>
      </c>
      <c r="D64" s="36" t="s">
        <v>28</v>
      </c>
      <c r="E64" s="36" t="s">
        <v>152</v>
      </c>
      <c r="F64" s="36" t="s">
        <v>149</v>
      </c>
      <c r="G64" s="36" t="s">
        <v>219</v>
      </c>
      <c r="H64" s="35" t="s">
        <v>153</v>
      </c>
      <c r="I64" s="35" t="s">
        <v>132</v>
      </c>
      <c r="J64" s="35"/>
      <c r="K64" s="159">
        <v>6</v>
      </c>
      <c r="L64" s="159">
        <v>9</v>
      </c>
      <c r="M64" s="160">
        <v>1</v>
      </c>
      <c r="N64" s="191"/>
      <c r="O64" s="190">
        <f t="shared" si="28"/>
        <v>6</v>
      </c>
      <c r="P64" s="191"/>
      <c r="Q64" s="190">
        <f t="shared" si="29"/>
        <v>9</v>
      </c>
      <c r="R64" s="191"/>
      <c r="S64" s="190">
        <f t="shared" si="35"/>
        <v>7.5</v>
      </c>
      <c r="T64" s="44" t="s">
        <v>154</v>
      </c>
    </row>
    <row r="65" spans="1:20" ht="26">
      <c r="A65" s="23"/>
      <c r="B65" s="34"/>
      <c r="C65" s="35" t="s">
        <v>131</v>
      </c>
      <c r="D65" s="36" t="s">
        <v>28</v>
      </c>
      <c r="E65" s="36" t="s">
        <v>220</v>
      </c>
      <c r="F65" s="36" t="s">
        <v>135</v>
      </c>
      <c r="G65" s="36" t="s">
        <v>221</v>
      </c>
      <c r="H65" s="35"/>
      <c r="I65" s="35" t="s">
        <v>132</v>
      </c>
      <c r="J65" s="35"/>
      <c r="K65" s="159">
        <v>2</v>
      </c>
      <c r="L65" s="159">
        <v>3</v>
      </c>
      <c r="M65" s="160">
        <v>1</v>
      </c>
      <c r="N65" s="191"/>
      <c r="O65" s="190">
        <f t="shared" si="28"/>
        <v>2</v>
      </c>
      <c r="P65" s="191"/>
      <c r="Q65" s="190">
        <f t="shared" si="29"/>
        <v>3</v>
      </c>
      <c r="R65" s="191"/>
      <c r="S65" s="190">
        <f t="shared" ref="S65" si="36">IF(AND(ISNUMBER(O65),ISNUMBER(Q65)),ROUND((O65+Q65)/2, 1),"")</f>
        <v>2.5</v>
      </c>
      <c r="T65" s="44"/>
    </row>
    <row r="66" spans="1:20" ht="26">
      <c r="A66" s="23"/>
      <c r="B66" s="34"/>
      <c r="C66" s="35" t="s">
        <v>131</v>
      </c>
      <c r="D66" s="36" t="s">
        <v>32</v>
      </c>
      <c r="E66" s="36" t="s">
        <v>222</v>
      </c>
      <c r="F66" s="36" t="s">
        <v>135</v>
      </c>
      <c r="G66" s="36" t="s">
        <v>223</v>
      </c>
      <c r="H66" s="35"/>
      <c r="I66" s="35" t="s">
        <v>132</v>
      </c>
      <c r="J66" s="35"/>
      <c r="K66" s="159">
        <v>5</v>
      </c>
      <c r="L66" s="159">
        <v>7</v>
      </c>
      <c r="M66" s="160">
        <v>1</v>
      </c>
      <c r="N66" s="191"/>
      <c r="O66" s="190">
        <f t="shared" si="28"/>
        <v>5</v>
      </c>
      <c r="P66" s="191"/>
      <c r="Q66" s="190">
        <f t="shared" si="29"/>
        <v>7</v>
      </c>
      <c r="R66" s="191"/>
      <c r="S66" s="190">
        <f>IF(AND(ISNUMBER(O66),ISNUMBER(Q66)),ROUND((O66+Q66)/2, 1),"")</f>
        <v>6</v>
      </c>
      <c r="T66" s="44"/>
    </row>
    <row r="67" spans="1:20" ht="26">
      <c r="A67" s="23"/>
      <c r="B67" s="34" t="s">
        <v>129</v>
      </c>
      <c r="C67" s="35" t="s">
        <v>131</v>
      </c>
      <c r="D67" s="36" t="s">
        <v>28</v>
      </c>
      <c r="E67" s="36" t="s">
        <v>224</v>
      </c>
      <c r="F67" s="36" t="s">
        <v>135</v>
      </c>
      <c r="G67" s="36" t="s">
        <v>225</v>
      </c>
      <c r="H67" s="35"/>
      <c r="I67" s="35" t="s">
        <v>132</v>
      </c>
      <c r="J67" s="35"/>
      <c r="K67" s="159">
        <v>2</v>
      </c>
      <c r="L67" s="159">
        <v>3</v>
      </c>
      <c r="M67" s="160">
        <v>1</v>
      </c>
      <c r="N67" s="191">
        <v>0.25</v>
      </c>
      <c r="O67" s="190">
        <f t="shared" si="22"/>
        <v>2</v>
      </c>
      <c r="P67" s="191">
        <v>0.5</v>
      </c>
      <c r="Q67" s="190">
        <f t="shared" si="23"/>
        <v>3</v>
      </c>
      <c r="R67" s="191"/>
      <c r="S67" s="190">
        <f>IF(AND(ISNUMBER(O67),ISNUMBER(Q67)),ROUND((O67+Q67)/2, 1),"")</f>
        <v>2.5</v>
      </c>
      <c r="T67" s="44" t="s">
        <v>226</v>
      </c>
    </row>
    <row r="68" spans="1:20" ht="26">
      <c r="A68" s="23"/>
      <c r="B68" s="34" t="s">
        <v>129</v>
      </c>
      <c r="C68" s="35" t="s">
        <v>131</v>
      </c>
      <c r="D68" s="36" t="s">
        <v>28</v>
      </c>
      <c r="E68" s="36" t="s">
        <v>227</v>
      </c>
      <c r="F68" s="36" t="s">
        <v>149</v>
      </c>
      <c r="G68" s="36" t="s">
        <v>228</v>
      </c>
      <c r="H68" s="35"/>
      <c r="I68" s="35" t="s">
        <v>132</v>
      </c>
      <c r="J68" s="35"/>
      <c r="K68" s="159">
        <v>2</v>
      </c>
      <c r="L68" s="159">
        <v>3</v>
      </c>
      <c r="M68" s="160">
        <v>1</v>
      </c>
      <c r="N68" s="191">
        <v>0.25</v>
      </c>
      <c r="O68" s="190">
        <f t="shared" si="22"/>
        <v>2</v>
      </c>
      <c r="P68" s="191">
        <v>0.5</v>
      </c>
      <c r="Q68" s="190">
        <f t="shared" si="23"/>
        <v>3</v>
      </c>
      <c r="R68" s="191"/>
      <c r="S68" s="190">
        <f>IF(AND(ISNUMBER(O68),ISNUMBER(Q68)),ROUND((O68+Q68)/2, 1),"")</f>
        <v>2.5</v>
      </c>
      <c r="T68" s="44"/>
    </row>
    <row r="69" spans="1:20" ht="26">
      <c r="A69" s="23"/>
      <c r="B69" s="34" t="s">
        <v>129</v>
      </c>
      <c r="C69" s="35" t="s">
        <v>131</v>
      </c>
      <c r="D69" s="36" t="s">
        <v>28</v>
      </c>
      <c r="E69" s="36" t="s">
        <v>229</v>
      </c>
      <c r="F69" s="36" t="s">
        <v>149</v>
      </c>
      <c r="G69" s="36" t="s">
        <v>230</v>
      </c>
      <c r="H69" s="35"/>
      <c r="I69" s="35" t="s">
        <v>132</v>
      </c>
      <c r="J69" s="35"/>
      <c r="K69" s="159">
        <v>2</v>
      </c>
      <c r="L69" s="159">
        <v>3</v>
      </c>
      <c r="M69" s="160">
        <v>1</v>
      </c>
      <c r="N69" s="191">
        <v>0.25</v>
      </c>
      <c r="O69" s="190">
        <f t="shared" si="22"/>
        <v>2</v>
      </c>
      <c r="P69" s="191">
        <v>0.5</v>
      </c>
      <c r="Q69" s="190">
        <f t="shared" si="23"/>
        <v>3</v>
      </c>
      <c r="R69" s="191"/>
      <c r="S69" s="190">
        <f t="shared" ref="S69" si="37">IF(AND(ISNUMBER(O69),ISNUMBER(Q69)),ROUND((O69+Q69)/2, 1),"")</f>
        <v>2.5</v>
      </c>
      <c r="T69" s="44"/>
    </row>
    <row r="70" spans="1:20" ht="26">
      <c r="A70" s="23"/>
      <c r="B70" s="34" t="s">
        <v>129</v>
      </c>
      <c r="C70" s="35" t="s">
        <v>131</v>
      </c>
      <c r="D70" s="36" t="s">
        <v>28</v>
      </c>
      <c r="E70" s="36" t="s">
        <v>231</v>
      </c>
      <c r="F70" s="36" t="s">
        <v>135</v>
      </c>
      <c r="G70" s="36"/>
      <c r="H70" s="35"/>
      <c r="I70" s="35" t="s">
        <v>132</v>
      </c>
      <c r="J70" s="35"/>
      <c r="K70" s="159">
        <v>2</v>
      </c>
      <c r="L70" s="159">
        <v>3</v>
      </c>
      <c r="M70" s="160">
        <v>1</v>
      </c>
      <c r="N70" s="191">
        <v>0.25</v>
      </c>
      <c r="O70" s="190">
        <f t="shared" si="22"/>
        <v>2</v>
      </c>
      <c r="P70" s="191">
        <v>0.5</v>
      </c>
      <c r="Q70" s="190">
        <f t="shared" si="23"/>
        <v>3</v>
      </c>
      <c r="R70" s="191"/>
      <c r="S70" s="190">
        <f t="shared" ref="S70" si="38">IF(AND(ISNUMBER(O70),ISNUMBER(Q70)),ROUND((O70+Q70)/2, 1),"")</f>
        <v>2.5</v>
      </c>
      <c r="T70" s="44"/>
    </row>
    <row r="71" spans="1:20" ht="26">
      <c r="A71" s="23"/>
      <c r="B71" s="34" t="s">
        <v>129</v>
      </c>
      <c r="C71" s="35" t="s">
        <v>131</v>
      </c>
      <c r="D71" s="36" t="s">
        <v>28</v>
      </c>
      <c r="E71" s="36" t="s">
        <v>232</v>
      </c>
      <c r="F71" s="36" t="s">
        <v>135</v>
      </c>
      <c r="G71" s="36"/>
      <c r="H71" s="35"/>
      <c r="I71" s="35" t="s">
        <v>132</v>
      </c>
      <c r="J71" s="35"/>
      <c r="K71" s="159">
        <v>1</v>
      </c>
      <c r="L71" s="159">
        <v>2</v>
      </c>
      <c r="M71" s="160">
        <v>1</v>
      </c>
      <c r="N71" s="191">
        <v>0.25</v>
      </c>
      <c r="O71" s="190">
        <f t="shared" si="22"/>
        <v>1</v>
      </c>
      <c r="P71" s="191">
        <v>0.5</v>
      </c>
      <c r="Q71" s="190">
        <f t="shared" si="23"/>
        <v>2</v>
      </c>
      <c r="R71" s="191"/>
      <c r="S71" s="190">
        <f t="shared" ref="S71" si="39">IF(AND(ISNUMBER(O71),ISNUMBER(Q71)),ROUND((O71+Q71)/2, 1),"")</f>
        <v>1.5</v>
      </c>
      <c r="T71" s="44"/>
    </row>
    <row r="72" spans="1:20" ht="26">
      <c r="A72" s="23"/>
      <c r="B72" s="34" t="s">
        <v>129</v>
      </c>
      <c r="C72" s="35" t="s">
        <v>131</v>
      </c>
      <c r="D72" s="36" t="s">
        <v>28</v>
      </c>
      <c r="E72" s="36" t="s">
        <v>233</v>
      </c>
      <c r="F72" s="36" t="s">
        <v>149</v>
      </c>
      <c r="G72" s="36" t="s">
        <v>234</v>
      </c>
      <c r="H72" s="35"/>
      <c r="I72" s="35" t="s">
        <v>132</v>
      </c>
      <c r="J72" s="35"/>
      <c r="K72" s="159">
        <v>3</v>
      </c>
      <c r="L72" s="159">
        <v>5</v>
      </c>
      <c r="M72" s="160">
        <v>1</v>
      </c>
      <c r="N72" s="191">
        <v>0.25</v>
      </c>
      <c r="O72" s="190">
        <f t="shared" si="22"/>
        <v>3</v>
      </c>
      <c r="P72" s="191">
        <v>0.5</v>
      </c>
      <c r="Q72" s="190">
        <f t="shared" si="23"/>
        <v>5</v>
      </c>
      <c r="R72" s="191"/>
      <c r="S72" s="190">
        <f t="shared" ref="S72" si="40">IF(AND(ISNUMBER(O72),ISNUMBER(Q72)),ROUND((O72+Q72)/2, 1),"")</f>
        <v>4</v>
      </c>
      <c r="T72" s="44"/>
    </row>
    <row r="73" spans="1:20" ht="26">
      <c r="A73" s="23"/>
      <c r="B73" s="34" t="s">
        <v>129</v>
      </c>
      <c r="C73" s="35" t="s">
        <v>131</v>
      </c>
      <c r="D73" s="36" t="s">
        <v>28</v>
      </c>
      <c r="E73" s="36" t="s">
        <v>235</v>
      </c>
      <c r="F73" s="36" t="s">
        <v>135</v>
      </c>
      <c r="G73" s="36"/>
      <c r="H73" s="35"/>
      <c r="I73" s="35" t="s">
        <v>132</v>
      </c>
      <c r="J73" s="35"/>
      <c r="K73" s="159">
        <v>2</v>
      </c>
      <c r="L73" s="159">
        <v>3</v>
      </c>
      <c r="M73" s="160">
        <v>1</v>
      </c>
      <c r="N73" s="191">
        <v>0.25</v>
      </c>
      <c r="O73" s="190">
        <f t="shared" si="22"/>
        <v>2</v>
      </c>
      <c r="P73" s="191">
        <v>0.5</v>
      </c>
      <c r="Q73" s="190">
        <f t="shared" si="23"/>
        <v>3</v>
      </c>
      <c r="R73" s="191"/>
      <c r="S73" s="190">
        <f t="shared" ref="S73" si="41">IF(AND(ISNUMBER(O73),ISNUMBER(Q73)),ROUND((O73+Q73)/2, 1),"")</f>
        <v>2.5</v>
      </c>
      <c r="T73" s="44"/>
    </row>
    <row r="74" spans="1:20" ht="52">
      <c r="A74" s="23"/>
      <c r="B74" s="34"/>
      <c r="C74" s="35" t="s">
        <v>131</v>
      </c>
      <c r="D74" s="36" t="s">
        <v>28</v>
      </c>
      <c r="E74" s="36" t="s">
        <v>236</v>
      </c>
      <c r="F74" s="36" t="s">
        <v>135</v>
      </c>
      <c r="G74" s="36" t="s">
        <v>183</v>
      </c>
      <c r="H74" s="35"/>
      <c r="I74" s="35" t="s">
        <v>132</v>
      </c>
      <c r="J74" s="35"/>
      <c r="K74" s="159">
        <v>2</v>
      </c>
      <c r="L74" s="159">
        <v>3</v>
      </c>
      <c r="M74" s="160">
        <v>1</v>
      </c>
      <c r="N74" s="191"/>
      <c r="O74" s="190">
        <f t="shared" si="22"/>
        <v>2</v>
      </c>
      <c r="P74" s="191"/>
      <c r="Q74" s="190">
        <f t="shared" si="23"/>
        <v>3</v>
      </c>
      <c r="R74" s="191"/>
      <c r="S74" s="190">
        <f>IF(AND(ISNUMBER(O74),ISNUMBER(Q74)),ROUND((O74+Q74)/2, 1),"")</f>
        <v>2.5</v>
      </c>
      <c r="T74" s="44"/>
    </row>
    <row r="75" spans="1:20" ht="39">
      <c r="A75" s="23"/>
      <c r="B75" s="34" t="s">
        <v>129</v>
      </c>
      <c r="C75" s="35" t="s">
        <v>131</v>
      </c>
      <c r="D75" s="36" t="s">
        <v>28</v>
      </c>
      <c r="E75" s="231" t="s">
        <v>237</v>
      </c>
      <c r="F75" s="36" t="s">
        <v>135</v>
      </c>
      <c r="G75" s="36" t="s">
        <v>238</v>
      </c>
      <c r="H75" s="35"/>
      <c r="I75" s="35" t="s">
        <v>132</v>
      </c>
      <c r="J75" s="35"/>
      <c r="K75" s="159"/>
      <c r="L75" s="159"/>
      <c r="M75" s="160">
        <v>1</v>
      </c>
      <c r="N75" s="191"/>
      <c r="O75" s="190" t="str">
        <f t="shared" si="22"/>
        <v/>
      </c>
      <c r="P75" s="191"/>
      <c r="Q75" s="190" t="str">
        <f t="shared" si="23"/>
        <v/>
      </c>
      <c r="R75" s="191"/>
      <c r="S75" s="190" t="str">
        <f>IF(AND(ISNUMBER(O75),ISNUMBER(Q75)),ROUND((O75+Q75)/2, 1),"")</f>
        <v/>
      </c>
      <c r="T75" s="44"/>
    </row>
    <row r="76" spans="1:20">
      <c r="A76" s="23"/>
      <c r="B76" s="34" t="s">
        <v>129</v>
      </c>
      <c r="C76" s="35" t="s">
        <v>131</v>
      </c>
      <c r="D76" s="36" t="s">
        <v>28</v>
      </c>
      <c r="E76" s="211" t="s">
        <v>239</v>
      </c>
      <c r="F76" s="36" t="s">
        <v>135</v>
      </c>
      <c r="G76" s="36"/>
      <c r="H76" s="35"/>
      <c r="I76" s="35" t="s">
        <v>132</v>
      </c>
      <c r="J76" s="35"/>
      <c r="K76" s="159">
        <v>2</v>
      </c>
      <c r="L76" s="159">
        <v>3</v>
      </c>
      <c r="M76" s="160">
        <v>1</v>
      </c>
      <c r="N76" s="191"/>
      <c r="O76" s="190">
        <f t="shared" si="22"/>
        <v>2</v>
      </c>
      <c r="P76" s="191"/>
      <c r="Q76" s="190">
        <f t="shared" si="23"/>
        <v>3</v>
      </c>
      <c r="R76" s="191"/>
      <c r="S76" s="190">
        <f t="shared" ref="S76:S85" si="42">IF(AND(ISNUMBER(O76),ISNUMBER(Q76)),ROUND((O76+Q76)/2, 1),"")</f>
        <v>2.5</v>
      </c>
      <c r="T76" s="44"/>
    </row>
    <row r="77" spans="1:20">
      <c r="A77" s="23"/>
      <c r="B77" s="34" t="s">
        <v>129</v>
      </c>
      <c r="C77" s="35" t="s">
        <v>131</v>
      </c>
      <c r="D77" s="36" t="s">
        <v>28</v>
      </c>
      <c r="E77" s="211" t="s">
        <v>240</v>
      </c>
      <c r="F77" s="36" t="s">
        <v>135</v>
      </c>
      <c r="G77" s="36"/>
      <c r="H77" s="35"/>
      <c r="I77" s="35" t="s">
        <v>132</v>
      </c>
      <c r="J77" s="35"/>
      <c r="K77" s="159">
        <v>2</v>
      </c>
      <c r="L77" s="159">
        <v>3</v>
      </c>
      <c r="M77" s="160">
        <v>1</v>
      </c>
      <c r="N77" s="191"/>
      <c r="O77" s="190">
        <f t="shared" si="22"/>
        <v>2</v>
      </c>
      <c r="P77" s="191"/>
      <c r="Q77" s="190">
        <f t="shared" si="23"/>
        <v>3</v>
      </c>
      <c r="R77" s="191"/>
      <c r="S77" s="190">
        <f t="shared" ref="S77" si="43">IF(AND(ISNUMBER(O77),ISNUMBER(Q77)),ROUND((O77+Q77)/2, 1),"")</f>
        <v>2.5</v>
      </c>
      <c r="T77" s="44"/>
    </row>
    <row r="78" spans="1:20" ht="26">
      <c r="A78" s="23"/>
      <c r="B78" s="34" t="s">
        <v>129</v>
      </c>
      <c r="C78" s="35" t="s">
        <v>131</v>
      </c>
      <c r="D78" s="36" t="s">
        <v>28</v>
      </c>
      <c r="E78" s="211" t="s">
        <v>241</v>
      </c>
      <c r="F78" s="36" t="s">
        <v>149</v>
      </c>
      <c r="G78" s="36"/>
      <c r="H78" s="35"/>
      <c r="I78" s="35" t="s">
        <v>132</v>
      </c>
      <c r="J78" s="35"/>
      <c r="K78" s="159">
        <v>2</v>
      </c>
      <c r="L78" s="159">
        <v>3</v>
      </c>
      <c r="M78" s="160">
        <v>1</v>
      </c>
      <c r="N78" s="191"/>
      <c r="O78" s="190">
        <f t="shared" si="22"/>
        <v>2</v>
      </c>
      <c r="P78" s="191"/>
      <c r="Q78" s="190">
        <f t="shared" si="23"/>
        <v>3</v>
      </c>
      <c r="R78" s="191"/>
      <c r="S78" s="190">
        <f t="shared" si="42"/>
        <v>2.5</v>
      </c>
      <c r="T78" s="44"/>
    </row>
    <row r="79" spans="1:20" ht="26">
      <c r="A79" s="23"/>
      <c r="B79" s="34"/>
      <c r="C79" s="35" t="s">
        <v>131</v>
      </c>
      <c r="D79" s="36" t="s">
        <v>28</v>
      </c>
      <c r="E79" s="211" t="s">
        <v>242</v>
      </c>
      <c r="F79" s="36" t="s">
        <v>149</v>
      </c>
      <c r="G79" s="36" t="s">
        <v>243</v>
      </c>
      <c r="H79" s="35"/>
      <c r="I79" s="35" t="s">
        <v>132</v>
      </c>
      <c r="J79" s="35"/>
      <c r="K79" s="159">
        <v>2</v>
      </c>
      <c r="L79" s="159">
        <v>3</v>
      </c>
      <c r="M79" s="160">
        <v>1</v>
      </c>
      <c r="N79" s="191"/>
      <c r="O79" s="190">
        <f t="shared" si="22"/>
        <v>2</v>
      </c>
      <c r="P79" s="191"/>
      <c r="Q79" s="190">
        <f t="shared" si="23"/>
        <v>3</v>
      </c>
      <c r="R79" s="191"/>
      <c r="S79" s="190">
        <f t="shared" si="42"/>
        <v>2.5</v>
      </c>
      <c r="T79" s="44"/>
    </row>
    <row r="80" spans="1:20" ht="26">
      <c r="A80" s="23"/>
      <c r="B80" s="34"/>
      <c r="C80" s="35" t="s">
        <v>131</v>
      </c>
      <c r="D80" s="36" t="s">
        <v>28</v>
      </c>
      <c r="E80" s="211" t="s">
        <v>244</v>
      </c>
      <c r="F80" s="36" t="s">
        <v>149</v>
      </c>
      <c r="G80" s="36"/>
      <c r="H80" s="35"/>
      <c r="I80" s="35" t="s">
        <v>132</v>
      </c>
      <c r="J80" s="35"/>
      <c r="K80" s="159">
        <v>2</v>
      </c>
      <c r="L80" s="159">
        <v>4</v>
      </c>
      <c r="M80" s="160">
        <v>1</v>
      </c>
      <c r="N80" s="191"/>
      <c r="O80" s="190">
        <f t="shared" si="22"/>
        <v>2</v>
      </c>
      <c r="P80" s="191"/>
      <c r="Q80" s="190">
        <f t="shared" si="23"/>
        <v>4</v>
      </c>
      <c r="R80" s="191"/>
      <c r="S80" s="190">
        <f t="shared" si="42"/>
        <v>3</v>
      </c>
      <c r="T80" s="44"/>
    </row>
    <row r="81" spans="1:20" ht="26">
      <c r="A81" s="23"/>
      <c r="B81" s="34"/>
      <c r="C81" s="35" t="s">
        <v>131</v>
      </c>
      <c r="D81" s="36" t="s">
        <v>28</v>
      </c>
      <c r="E81" s="211" t="s">
        <v>245</v>
      </c>
      <c r="F81" s="36" t="s">
        <v>149</v>
      </c>
      <c r="G81" s="36"/>
      <c r="H81" s="35"/>
      <c r="I81" s="35" t="s">
        <v>132</v>
      </c>
      <c r="J81" s="35"/>
      <c r="K81" s="159">
        <v>2</v>
      </c>
      <c r="L81" s="159">
        <v>3</v>
      </c>
      <c r="M81" s="160">
        <v>1</v>
      </c>
      <c r="N81" s="191"/>
      <c r="O81" s="190">
        <f t="shared" si="22"/>
        <v>2</v>
      </c>
      <c r="P81" s="191"/>
      <c r="Q81" s="190">
        <f t="shared" si="23"/>
        <v>3</v>
      </c>
      <c r="R81" s="191"/>
      <c r="S81" s="190">
        <f t="shared" ref="S81" si="44">IF(AND(ISNUMBER(O81),ISNUMBER(Q81)),ROUND((O81+Q81)/2, 1),"")</f>
        <v>2.5</v>
      </c>
      <c r="T81" s="44"/>
    </row>
    <row r="82" spans="1:20" ht="39">
      <c r="A82" s="23"/>
      <c r="B82" s="34"/>
      <c r="C82" s="35" t="s">
        <v>131</v>
      </c>
      <c r="D82" s="36" t="s">
        <v>28</v>
      </c>
      <c r="E82" s="211" t="s">
        <v>246</v>
      </c>
      <c r="F82" s="36" t="s">
        <v>149</v>
      </c>
      <c r="G82" s="36" t="s">
        <v>247</v>
      </c>
      <c r="H82" s="35"/>
      <c r="I82" s="35" t="s">
        <v>132</v>
      </c>
      <c r="J82" s="35"/>
      <c r="K82" s="159">
        <v>3</v>
      </c>
      <c r="L82" s="159">
        <v>5</v>
      </c>
      <c r="M82" s="160">
        <v>1</v>
      </c>
      <c r="N82" s="191"/>
      <c r="O82" s="190">
        <f t="shared" si="22"/>
        <v>3</v>
      </c>
      <c r="P82" s="191"/>
      <c r="Q82" s="190">
        <f t="shared" si="23"/>
        <v>5</v>
      </c>
      <c r="R82" s="191"/>
      <c r="S82" s="190">
        <f t="shared" si="42"/>
        <v>4</v>
      </c>
      <c r="T82" s="44"/>
    </row>
    <row r="83" spans="1:20" ht="26">
      <c r="A83" s="23"/>
      <c r="B83" s="34"/>
      <c r="C83" s="35" t="s">
        <v>131</v>
      </c>
      <c r="D83" s="36" t="s">
        <v>28</v>
      </c>
      <c r="E83" s="211" t="s">
        <v>248</v>
      </c>
      <c r="F83" s="36" t="s">
        <v>135</v>
      </c>
      <c r="G83" s="36"/>
      <c r="H83" s="35"/>
      <c r="I83" s="35" t="s">
        <v>137</v>
      </c>
      <c r="J83" s="35"/>
      <c r="K83" s="159">
        <v>3</v>
      </c>
      <c r="L83" s="159">
        <v>5</v>
      </c>
      <c r="M83" s="160">
        <v>1</v>
      </c>
      <c r="N83" s="191"/>
      <c r="O83" s="190" t="str">
        <f t="shared" si="22"/>
        <v/>
      </c>
      <c r="P83" s="191"/>
      <c r="Q83" s="190" t="str">
        <f t="shared" si="23"/>
        <v/>
      </c>
      <c r="R83" s="191"/>
      <c r="S83" s="190" t="str">
        <f t="shared" si="42"/>
        <v/>
      </c>
      <c r="T83" s="44"/>
    </row>
    <row r="84" spans="1:20" ht="26">
      <c r="A84" s="23"/>
      <c r="B84" s="34"/>
      <c r="C84" s="35" t="s">
        <v>131</v>
      </c>
      <c r="D84" s="36" t="s">
        <v>28</v>
      </c>
      <c r="E84" s="211" t="s">
        <v>249</v>
      </c>
      <c r="F84" s="36" t="s">
        <v>149</v>
      </c>
      <c r="G84" s="36"/>
      <c r="H84" s="35"/>
      <c r="I84" s="35" t="s">
        <v>132</v>
      </c>
      <c r="J84" s="35"/>
      <c r="K84" s="159">
        <v>2</v>
      </c>
      <c r="L84" s="159">
        <v>3</v>
      </c>
      <c r="M84" s="160">
        <v>1</v>
      </c>
      <c r="N84" s="191"/>
      <c r="O84" s="190">
        <f t="shared" si="22"/>
        <v>2</v>
      </c>
      <c r="P84" s="191"/>
      <c r="Q84" s="190">
        <f t="shared" si="23"/>
        <v>3</v>
      </c>
      <c r="R84" s="191"/>
      <c r="S84" s="190">
        <f t="shared" si="42"/>
        <v>2.5</v>
      </c>
      <c r="T84" s="44"/>
    </row>
    <row r="85" spans="1:20" ht="31.5" customHeight="1">
      <c r="A85" s="23"/>
      <c r="B85" s="34"/>
      <c r="C85" s="35" t="s">
        <v>131</v>
      </c>
      <c r="D85" s="36" t="s">
        <v>28</v>
      </c>
      <c r="E85" s="211" t="s">
        <v>250</v>
      </c>
      <c r="F85" s="36" t="s">
        <v>149</v>
      </c>
      <c r="G85" s="36"/>
      <c r="H85" s="35"/>
      <c r="I85" s="35" t="s">
        <v>132</v>
      </c>
      <c r="J85" s="35"/>
      <c r="K85" s="159">
        <v>4</v>
      </c>
      <c r="L85" s="159">
        <v>6</v>
      </c>
      <c r="M85" s="160">
        <v>1</v>
      </c>
      <c r="N85" s="191"/>
      <c r="O85" s="190">
        <f t="shared" si="22"/>
        <v>4</v>
      </c>
      <c r="P85" s="191"/>
      <c r="Q85" s="190">
        <f t="shared" si="23"/>
        <v>6</v>
      </c>
      <c r="R85" s="191"/>
      <c r="S85" s="190">
        <f t="shared" si="42"/>
        <v>5</v>
      </c>
      <c r="T85" s="44" t="s">
        <v>154</v>
      </c>
    </row>
    <row r="86" spans="1:20" ht="31.5" customHeight="1">
      <c r="A86" s="23"/>
      <c r="B86" s="34"/>
      <c r="C86" s="35" t="s">
        <v>131</v>
      </c>
      <c r="D86" s="36" t="s">
        <v>28</v>
      </c>
      <c r="E86" s="211" t="s">
        <v>251</v>
      </c>
      <c r="F86" s="36" t="s">
        <v>135</v>
      </c>
      <c r="G86" s="36"/>
      <c r="H86" s="35"/>
      <c r="I86" s="35" t="s">
        <v>132</v>
      </c>
      <c r="J86" s="35"/>
      <c r="K86" s="159">
        <v>3</v>
      </c>
      <c r="L86" s="159">
        <v>5</v>
      </c>
      <c r="M86" s="160">
        <v>1</v>
      </c>
      <c r="N86" s="191"/>
      <c r="O86" s="190">
        <f t="shared" si="22"/>
        <v>3</v>
      </c>
      <c r="P86" s="191"/>
      <c r="Q86" s="190">
        <f t="shared" si="23"/>
        <v>5</v>
      </c>
      <c r="R86" s="191"/>
      <c r="S86" s="190">
        <f t="shared" ref="S86" si="45">IF(AND(ISNUMBER(O86),ISNUMBER(Q86)),ROUND((O86+Q86)/2, 1),"")</f>
        <v>4</v>
      </c>
      <c r="T86" s="44" t="s">
        <v>154</v>
      </c>
    </row>
    <row r="87" spans="1:20" ht="31.5" customHeight="1">
      <c r="A87" s="23"/>
      <c r="B87" s="34"/>
      <c r="C87" s="35" t="s">
        <v>131</v>
      </c>
      <c r="D87" s="36" t="s">
        <v>28</v>
      </c>
      <c r="E87" s="211" t="s">
        <v>252</v>
      </c>
      <c r="F87" s="36" t="s">
        <v>149</v>
      </c>
      <c r="G87" s="36"/>
      <c r="H87" s="35"/>
      <c r="I87" s="35" t="s">
        <v>132</v>
      </c>
      <c r="J87" s="35"/>
      <c r="K87" s="159">
        <v>4</v>
      </c>
      <c r="L87" s="159">
        <v>7</v>
      </c>
      <c r="M87" s="160">
        <v>1</v>
      </c>
      <c r="N87" s="191"/>
      <c r="O87" s="190">
        <f t="shared" si="22"/>
        <v>4</v>
      </c>
      <c r="P87" s="191"/>
      <c r="Q87" s="190">
        <f t="shared" si="23"/>
        <v>7</v>
      </c>
      <c r="R87" s="191"/>
      <c r="S87" s="190">
        <f t="shared" ref="S87" si="46">IF(AND(ISNUMBER(O87),ISNUMBER(Q87)),ROUND((O87+Q87)/2, 1),"")</f>
        <v>5.5</v>
      </c>
      <c r="T87" s="44" t="s">
        <v>154</v>
      </c>
    </row>
    <row r="88" spans="1:20" ht="31.5" customHeight="1">
      <c r="A88" s="23"/>
      <c r="B88" s="34"/>
      <c r="C88" s="35" t="s">
        <v>131</v>
      </c>
      <c r="D88" s="36" t="s">
        <v>28</v>
      </c>
      <c r="E88" s="211" t="s">
        <v>253</v>
      </c>
      <c r="F88" s="36" t="s">
        <v>135</v>
      </c>
      <c r="G88" s="36"/>
      <c r="H88" s="35"/>
      <c r="I88" s="35" t="s">
        <v>132</v>
      </c>
      <c r="J88" s="35"/>
      <c r="K88" s="159">
        <v>3</v>
      </c>
      <c r="L88" s="159">
        <v>5</v>
      </c>
      <c r="M88" s="160">
        <v>1</v>
      </c>
      <c r="N88" s="191"/>
      <c r="O88" s="190">
        <f t="shared" si="22"/>
        <v>3</v>
      </c>
      <c r="P88" s="191"/>
      <c r="Q88" s="190">
        <f t="shared" si="23"/>
        <v>5</v>
      </c>
      <c r="R88" s="191"/>
      <c r="S88" s="190">
        <f t="shared" ref="S88" si="47">IF(AND(ISNUMBER(O88),ISNUMBER(Q88)),ROUND((O88+Q88)/2, 1),"")</f>
        <v>4</v>
      </c>
      <c r="T88" s="44" t="s">
        <v>154</v>
      </c>
    </row>
    <row r="89" spans="1:20">
      <c r="A89" s="23"/>
      <c r="B89" s="34"/>
      <c r="C89" s="35" t="s">
        <v>131</v>
      </c>
      <c r="D89" s="36" t="s">
        <v>28</v>
      </c>
      <c r="E89" s="36" t="s">
        <v>254</v>
      </c>
      <c r="F89" s="36" t="s">
        <v>135</v>
      </c>
      <c r="G89" s="36"/>
      <c r="H89" s="35"/>
      <c r="I89" s="35" t="s">
        <v>132</v>
      </c>
      <c r="J89" s="35"/>
      <c r="K89" s="159">
        <v>3</v>
      </c>
      <c r="L89" s="159">
        <v>5</v>
      </c>
      <c r="M89" s="160">
        <v>1</v>
      </c>
      <c r="N89" s="191"/>
      <c r="O89" s="190">
        <f t="shared" si="22"/>
        <v>3</v>
      </c>
      <c r="P89" s="191"/>
      <c r="Q89" s="190">
        <f t="shared" si="23"/>
        <v>5</v>
      </c>
      <c r="R89" s="191"/>
      <c r="S89" s="190">
        <f t="shared" ref="S89:S96" si="48">IF(AND(ISNUMBER(O89),ISNUMBER(Q89)),ROUND((O89+Q89)/2, 1),"")</f>
        <v>4</v>
      </c>
      <c r="T89" s="44"/>
    </row>
    <row r="90" spans="1:20">
      <c r="A90" s="23"/>
      <c r="B90" s="34" t="s">
        <v>129</v>
      </c>
      <c r="C90" s="35" t="s">
        <v>131</v>
      </c>
      <c r="D90" s="36" t="s">
        <v>28</v>
      </c>
      <c r="E90" s="231" t="s">
        <v>255</v>
      </c>
      <c r="F90" s="36" t="s">
        <v>135</v>
      </c>
      <c r="G90" s="36"/>
      <c r="H90" s="35"/>
      <c r="I90" s="35" t="s">
        <v>132</v>
      </c>
      <c r="J90" s="35"/>
      <c r="K90" s="159"/>
      <c r="L90" s="159"/>
      <c r="M90" s="160">
        <v>1</v>
      </c>
      <c r="N90" s="191"/>
      <c r="O90" s="190" t="str">
        <f t="shared" si="22"/>
        <v/>
      </c>
      <c r="P90" s="191"/>
      <c r="Q90" s="190" t="str">
        <f t="shared" si="23"/>
        <v/>
      </c>
      <c r="R90" s="191"/>
      <c r="S90" s="190" t="str">
        <f t="shared" si="48"/>
        <v/>
      </c>
      <c r="T90" s="44"/>
    </row>
    <row r="91" spans="1:20" ht="39">
      <c r="A91" s="23"/>
      <c r="B91" s="34" t="s">
        <v>129</v>
      </c>
      <c r="C91" s="35" t="s">
        <v>131</v>
      </c>
      <c r="D91" s="36" t="s">
        <v>30</v>
      </c>
      <c r="E91" s="211" t="s">
        <v>256</v>
      </c>
      <c r="F91" s="36" t="s">
        <v>135</v>
      </c>
      <c r="G91" s="36" t="s">
        <v>257</v>
      </c>
      <c r="H91" s="35"/>
      <c r="I91" s="35" t="s">
        <v>132</v>
      </c>
      <c r="J91" s="35"/>
      <c r="K91" s="159">
        <v>3</v>
      </c>
      <c r="L91" s="159">
        <v>5</v>
      </c>
      <c r="M91" s="160">
        <v>1</v>
      </c>
      <c r="N91" s="191"/>
      <c r="O91" s="190">
        <f t="shared" si="22"/>
        <v>3</v>
      </c>
      <c r="P91" s="191"/>
      <c r="Q91" s="190">
        <f t="shared" si="23"/>
        <v>5</v>
      </c>
      <c r="R91" s="191"/>
      <c r="S91" s="190">
        <f t="shared" si="48"/>
        <v>4</v>
      </c>
      <c r="T91" s="44"/>
    </row>
    <row r="92" spans="1:20" ht="39">
      <c r="A92" s="23"/>
      <c r="B92" s="34"/>
      <c r="C92" s="35" t="s">
        <v>131</v>
      </c>
      <c r="D92" s="36" t="s">
        <v>30</v>
      </c>
      <c r="E92" s="211" t="s">
        <v>258</v>
      </c>
      <c r="F92" s="36" t="s">
        <v>149</v>
      </c>
      <c r="G92" s="36" t="s">
        <v>257</v>
      </c>
      <c r="H92" s="35"/>
      <c r="I92" s="35" t="s">
        <v>132</v>
      </c>
      <c r="J92" s="35"/>
      <c r="K92" s="159">
        <v>1</v>
      </c>
      <c r="L92" s="159">
        <v>2</v>
      </c>
      <c r="M92" s="160">
        <v>1</v>
      </c>
      <c r="N92" s="191"/>
      <c r="O92" s="190">
        <f t="shared" si="22"/>
        <v>1</v>
      </c>
      <c r="P92" s="191"/>
      <c r="Q92" s="190">
        <f t="shared" si="23"/>
        <v>2</v>
      </c>
      <c r="R92" s="191"/>
      <c r="S92" s="190">
        <f t="shared" si="48"/>
        <v>1.5</v>
      </c>
      <c r="T92" s="44"/>
    </row>
    <row r="93" spans="1:20" ht="39">
      <c r="A93" s="23"/>
      <c r="B93" s="34" t="s">
        <v>129</v>
      </c>
      <c r="C93" s="35" t="s">
        <v>131</v>
      </c>
      <c r="D93" s="36" t="s">
        <v>30</v>
      </c>
      <c r="E93" s="211" t="s">
        <v>259</v>
      </c>
      <c r="F93" s="36" t="s">
        <v>149</v>
      </c>
      <c r="G93" s="36" t="s">
        <v>257</v>
      </c>
      <c r="H93" s="35"/>
      <c r="I93" s="35" t="s">
        <v>132</v>
      </c>
      <c r="J93" s="35"/>
      <c r="K93" s="159">
        <v>2</v>
      </c>
      <c r="L93" s="159">
        <v>3</v>
      </c>
      <c r="M93" s="160">
        <v>1</v>
      </c>
      <c r="N93" s="191"/>
      <c r="O93" s="190">
        <f t="shared" si="22"/>
        <v>2</v>
      </c>
      <c r="P93" s="191"/>
      <c r="Q93" s="190">
        <f t="shared" si="23"/>
        <v>3</v>
      </c>
      <c r="R93" s="191"/>
      <c r="S93" s="190">
        <f t="shared" si="48"/>
        <v>2.5</v>
      </c>
      <c r="T93" s="44"/>
    </row>
    <row r="94" spans="1:20" ht="52">
      <c r="A94" s="23"/>
      <c r="B94" s="34" t="s">
        <v>129</v>
      </c>
      <c r="C94" s="35" t="s">
        <v>131</v>
      </c>
      <c r="D94" s="36" t="s">
        <v>30</v>
      </c>
      <c r="E94" s="211" t="s">
        <v>260</v>
      </c>
      <c r="F94" s="36" t="s">
        <v>135</v>
      </c>
      <c r="G94" s="36" t="s">
        <v>261</v>
      </c>
      <c r="H94" s="35"/>
      <c r="I94" s="35" t="s">
        <v>132</v>
      </c>
      <c r="J94" s="35"/>
      <c r="K94" s="159">
        <v>1</v>
      </c>
      <c r="L94" s="159">
        <v>2</v>
      </c>
      <c r="M94" s="160">
        <v>3</v>
      </c>
      <c r="N94" s="191"/>
      <c r="O94" s="190">
        <f t="shared" si="22"/>
        <v>3</v>
      </c>
      <c r="P94" s="191"/>
      <c r="Q94" s="190">
        <f t="shared" si="23"/>
        <v>6</v>
      </c>
      <c r="R94" s="191"/>
      <c r="S94" s="190">
        <f t="shared" si="48"/>
        <v>4.5</v>
      </c>
      <c r="T94" s="44"/>
    </row>
    <row r="95" spans="1:20" ht="39">
      <c r="A95" s="23"/>
      <c r="B95" s="34" t="s">
        <v>129</v>
      </c>
      <c r="C95" s="35" t="s">
        <v>131</v>
      </c>
      <c r="D95" s="36" t="s">
        <v>30</v>
      </c>
      <c r="E95" s="211" t="s">
        <v>262</v>
      </c>
      <c r="F95" s="36" t="s">
        <v>149</v>
      </c>
      <c r="G95" s="36" t="s">
        <v>257</v>
      </c>
      <c r="H95" s="35"/>
      <c r="I95" s="35" t="s">
        <v>132</v>
      </c>
      <c r="J95" s="35"/>
      <c r="K95" s="159">
        <v>2</v>
      </c>
      <c r="L95" s="159">
        <v>3</v>
      </c>
      <c r="M95" s="160">
        <v>1</v>
      </c>
      <c r="N95" s="191"/>
      <c r="O95" s="190">
        <f t="shared" si="22"/>
        <v>2</v>
      </c>
      <c r="P95" s="191"/>
      <c r="Q95" s="190">
        <f t="shared" si="23"/>
        <v>3</v>
      </c>
      <c r="R95" s="191"/>
      <c r="S95" s="190">
        <f t="shared" si="48"/>
        <v>2.5</v>
      </c>
      <c r="T95" s="44"/>
    </row>
    <row r="96" spans="1:20" ht="39">
      <c r="A96" s="23"/>
      <c r="B96" s="34"/>
      <c r="C96" s="35" t="s">
        <v>131</v>
      </c>
      <c r="D96" s="36" t="s">
        <v>30</v>
      </c>
      <c r="E96" s="211" t="s">
        <v>186</v>
      </c>
      <c r="F96" s="36" t="s">
        <v>135</v>
      </c>
      <c r="G96" s="36" t="s">
        <v>257</v>
      </c>
      <c r="H96" s="35"/>
      <c r="I96" s="35" t="s">
        <v>132</v>
      </c>
      <c r="J96" s="35"/>
      <c r="K96" s="159">
        <v>3</v>
      </c>
      <c r="L96" s="159">
        <v>5</v>
      </c>
      <c r="M96" s="160">
        <v>1</v>
      </c>
      <c r="N96" s="191"/>
      <c r="O96" s="190">
        <f t="shared" si="22"/>
        <v>3</v>
      </c>
      <c r="P96" s="191"/>
      <c r="Q96" s="190">
        <f t="shared" si="23"/>
        <v>5</v>
      </c>
      <c r="R96" s="191"/>
      <c r="S96" s="190">
        <f t="shared" si="48"/>
        <v>4</v>
      </c>
      <c r="T96" s="44"/>
    </row>
    <row r="97" spans="1:20" ht="26">
      <c r="A97" s="23"/>
      <c r="B97" s="34"/>
      <c r="C97" s="35" t="s">
        <v>131</v>
      </c>
      <c r="D97" s="36" t="s">
        <v>30</v>
      </c>
      <c r="E97" s="211" t="s">
        <v>263</v>
      </c>
      <c r="F97" s="36" t="s">
        <v>135</v>
      </c>
      <c r="G97" s="36" t="s">
        <v>264</v>
      </c>
      <c r="H97" s="35"/>
      <c r="I97" s="35" t="s">
        <v>137</v>
      </c>
      <c r="J97" s="35"/>
      <c r="K97" s="159">
        <v>5</v>
      </c>
      <c r="L97" s="159">
        <v>7</v>
      </c>
      <c r="M97" s="160">
        <v>1</v>
      </c>
      <c r="N97" s="191"/>
      <c r="O97" s="190" t="str">
        <f t="shared" si="22"/>
        <v/>
      </c>
      <c r="P97" s="191"/>
      <c r="Q97" s="190" t="str">
        <f t="shared" si="23"/>
        <v/>
      </c>
      <c r="R97" s="191"/>
      <c r="S97" s="190" t="str">
        <f t="shared" ref="S97" si="49">IF(AND(ISNUMBER(O97),ISNUMBER(Q97)),ROUND((O97+Q97)/2, 1),"")</f>
        <v/>
      </c>
      <c r="T97" s="44"/>
    </row>
    <row r="98" spans="1:20" ht="26">
      <c r="A98" s="23"/>
      <c r="B98" s="34"/>
      <c r="C98" s="35" t="s">
        <v>131</v>
      </c>
      <c r="D98" s="36" t="s">
        <v>30</v>
      </c>
      <c r="E98" s="211" t="s">
        <v>265</v>
      </c>
      <c r="F98" s="36" t="s">
        <v>149</v>
      </c>
      <c r="G98" s="36"/>
      <c r="H98" s="35"/>
      <c r="I98" s="35" t="s">
        <v>132</v>
      </c>
      <c r="J98" s="35"/>
      <c r="K98" s="159">
        <v>5</v>
      </c>
      <c r="L98" s="159">
        <v>7</v>
      </c>
      <c r="M98" s="160">
        <v>1</v>
      </c>
      <c r="N98" s="191"/>
      <c r="O98" s="190">
        <f t="shared" si="22"/>
        <v>5</v>
      </c>
      <c r="P98" s="191"/>
      <c r="Q98" s="190">
        <f t="shared" si="23"/>
        <v>7</v>
      </c>
      <c r="R98" s="191"/>
      <c r="S98" s="190">
        <f t="shared" ref="S98" si="50">IF(AND(ISNUMBER(O98),ISNUMBER(Q98)),ROUND((O98+Q98)/2, 1),"")</f>
        <v>6</v>
      </c>
      <c r="T98" s="44"/>
    </row>
    <row r="99" spans="1:20" ht="39">
      <c r="A99" s="23"/>
      <c r="B99" s="34"/>
      <c r="C99" s="35" t="s">
        <v>131</v>
      </c>
      <c r="D99" s="36" t="s">
        <v>30</v>
      </c>
      <c r="E99" s="211" t="s">
        <v>266</v>
      </c>
      <c r="F99" s="36" t="s">
        <v>135</v>
      </c>
      <c r="G99" s="36" t="s">
        <v>257</v>
      </c>
      <c r="H99" s="35"/>
      <c r="I99" s="35" t="s">
        <v>137</v>
      </c>
      <c r="J99" s="35"/>
      <c r="K99" s="159">
        <v>2</v>
      </c>
      <c r="L99" s="159">
        <v>3</v>
      </c>
      <c r="M99" s="160">
        <v>1</v>
      </c>
      <c r="N99" s="191"/>
      <c r="O99" s="190" t="str">
        <f t="shared" si="22"/>
        <v/>
      </c>
      <c r="P99" s="191"/>
      <c r="Q99" s="190" t="str">
        <f t="shared" si="23"/>
        <v/>
      </c>
      <c r="R99" s="191"/>
      <c r="S99" s="190" t="str">
        <f t="shared" ref="S99" si="51">IF(AND(ISNUMBER(O99),ISNUMBER(Q99)),ROUND((O99+Q99)/2, 1),"")</f>
        <v/>
      </c>
      <c r="T99" s="44"/>
    </row>
    <row r="100" spans="1:20" ht="39">
      <c r="A100" s="23"/>
      <c r="B100" s="34"/>
      <c r="C100" s="35" t="s">
        <v>131</v>
      </c>
      <c r="D100" s="36" t="s">
        <v>30</v>
      </c>
      <c r="E100" s="211" t="s">
        <v>267</v>
      </c>
      <c r="F100" s="36" t="s">
        <v>135</v>
      </c>
      <c r="G100" s="36" t="s">
        <v>257</v>
      </c>
      <c r="H100" s="35"/>
      <c r="I100" s="35" t="s">
        <v>132</v>
      </c>
      <c r="J100" s="35"/>
      <c r="K100" s="159">
        <v>1</v>
      </c>
      <c r="L100" s="159">
        <v>2</v>
      </c>
      <c r="M100" s="160">
        <v>1</v>
      </c>
      <c r="N100" s="191"/>
      <c r="O100" s="190">
        <f t="shared" si="22"/>
        <v>1</v>
      </c>
      <c r="P100" s="191"/>
      <c r="Q100" s="190">
        <f t="shared" si="23"/>
        <v>2</v>
      </c>
      <c r="R100" s="191"/>
      <c r="S100" s="190">
        <f t="shared" ref="S100" si="52">IF(AND(ISNUMBER(O100),ISNUMBER(Q100)),ROUND((O100+Q100)/2, 1),"")</f>
        <v>1.5</v>
      </c>
      <c r="T100" s="44"/>
    </row>
    <row r="101" spans="1:20" ht="39">
      <c r="A101" s="23"/>
      <c r="B101" s="34"/>
      <c r="C101" s="35" t="s">
        <v>131</v>
      </c>
      <c r="D101" s="36" t="s">
        <v>30</v>
      </c>
      <c r="E101" s="211" t="s">
        <v>268</v>
      </c>
      <c r="F101" s="36" t="s">
        <v>149</v>
      </c>
      <c r="G101" s="36" t="s">
        <v>257</v>
      </c>
      <c r="H101" s="35"/>
      <c r="I101" s="35" t="s">
        <v>137</v>
      </c>
      <c r="J101" s="35"/>
      <c r="K101" s="159">
        <v>2</v>
      </c>
      <c r="L101" s="159">
        <v>3</v>
      </c>
      <c r="M101" s="160">
        <v>1</v>
      </c>
      <c r="N101" s="191"/>
      <c r="O101" s="190" t="str">
        <f t="shared" si="22"/>
        <v/>
      </c>
      <c r="P101" s="191"/>
      <c r="Q101" s="190" t="str">
        <f t="shared" si="23"/>
        <v/>
      </c>
      <c r="R101" s="191"/>
      <c r="S101" s="190" t="str">
        <f t="shared" ref="S101" si="53">IF(AND(ISNUMBER(O101),ISNUMBER(Q101)),ROUND((O101+Q101)/2, 1),"")</f>
        <v/>
      </c>
      <c r="T101" s="44"/>
    </row>
    <row r="102" spans="1:20" ht="26">
      <c r="A102" s="23"/>
      <c r="B102" s="34"/>
      <c r="C102" s="35" t="s">
        <v>131</v>
      </c>
      <c r="D102" s="36" t="s">
        <v>30</v>
      </c>
      <c r="E102" s="211" t="s">
        <v>269</v>
      </c>
      <c r="F102" s="36" t="s">
        <v>149</v>
      </c>
      <c r="G102" s="36" t="s">
        <v>270</v>
      </c>
      <c r="H102" s="35"/>
      <c r="I102" s="35" t="s">
        <v>132</v>
      </c>
      <c r="J102" s="35"/>
      <c r="K102" s="159">
        <v>2</v>
      </c>
      <c r="L102" s="159">
        <v>3</v>
      </c>
      <c r="M102" s="160">
        <v>1</v>
      </c>
      <c r="N102" s="191"/>
      <c r="O102" s="190">
        <f t="shared" si="22"/>
        <v>2</v>
      </c>
      <c r="P102" s="191"/>
      <c r="Q102" s="190">
        <f t="shared" si="23"/>
        <v>3</v>
      </c>
      <c r="R102" s="191"/>
      <c r="S102" s="190">
        <f t="shared" ref="S102" si="54">IF(AND(ISNUMBER(O102),ISNUMBER(Q102)),ROUND((O102+Q102)/2, 1),"")</f>
        <v>2.5</v>
      </c>
      <c r="T102" s="44"/>
    </row>
    <row r="103" spans="1:20">
      <c r="A103" s="23"/>
      <c r="B103" s="34"/>
      <c r="C103" s="35" t="s">
        <v>131</v>
      </c>
      <c r="D103" s="36" t="s">
        <v>30</v>
      </c>
      <c r="E103" s="211" t="s">
        <v>271</v>
      </c>
      <c r="F103" s="36" t="s">
        <v>135</v>
      </c>
      <c r="G103" s="36" t="s">
        <v>272</v>
      </c>
      <c r="H103" s="35"/>
      <c r="I103" s="35" t="s">
        <v>137</v>
      </c>
      <c r="J103" s="35"/>
      <c r="K103" s="159">
        <v>2</v>
      </c>
      <c r="L103" s="159">
        <v>3</v>
      </c>
      <c r="M103" s="160">
        <v>1</v>
      </c>
      <c r="N103" s="191"/>
      <c r="O103" s="190" t="str">
        <f t="shared" si="22"/>
        <v/>
      </c>
      <c r="P103" s="191"/>
      <c r="Q103" s="190" t="str">
        <f t="shared" si="23"/>
        <v/>
      </c>
      <c r="R103" s="191"/>
      <c r="S103" s="190" t="str">
        <f t="shared" ref="S103:S104" si="55">IF(AND(ISNUMBER(O103),ISNUMBER(Q103)),ROUND((O103+Q103)/2, 1),"")</f>
        <v/>
      </c>
      <c r="T103" s="44" t="s">
        <v>273</v>
      </c>
    </row>
    <row r="104" spans="1:20" ht="39">
      <c r="A104" s="23"/>
      <c r="B104" s="34"/>
      <c r="C104" s="35" t="s">
        <v>131</v>
      </c>
      <c r="D104" s="36" t="s">
        <v>30</v>
      </c>
      <c r="E104" s="211" t="s">
        <v>274</v>
      </c>
      <c r="F104" s="36" t="s">
        <v>135</v>
      </c>
      <c r="G104" s="36" t="s">
        <v>257</v>
      </c>
      <c r="H104" s="35"/>
      <c r="I104" s="35" t="s">
        <v>132</v>
      </c>
      <c r="J104" s="35"/>
      <c r="K104" s="159">
        <v>2</v>
      </c>
      <c r="L104" s="159">
        <v>3</v>
      </c>
      <c r="M104" s="160">
        <v>1</v>
      </c>
      <c r="N104" s="191"/>
      <c r="O104" s="190">
        <f t="shared" si="22"/>
        <v>2</v>
      </c>
      <c r="P104" s="191"/>
      <c r="Q104" s="190">
        <f t="shared" si="23"/>
        <v>3</v>
      </c>
      <c r="R104" s="191"/>
      <c r="S104" s="190">
        <f t="shared" si="55"/>
        <v>2.5</v>
      </c>
      <c r="T104" s="44"/>
    </row>
    <row r="105" spans="1:20">
      <c r="A105" s="23"/>
      <c r="B105" s="34" t="s">
        <v>129</v>
      </c>
      <c r="C105" s="35" t="s">
        <v>131</v>
      </c>
      <c r="D105" s="36" t="s">
        <v>24</v>
      </c>
      <c r="E105" s="231" t="s">
        <v>275</v>
      </c>
      <c r="F105" s="36" t="s">
        <v>135</v>
      </c>
      <c r="G105" s="36"/>
      <c r="H105" s="35"/>
      <c r="I105" s="35" t="s">
        <v>132</v>
      </c>
      <c r="J105" s="35"/>
      <c r="K105" s="159"/>
      <c r="L105" s="159"/>
      <c r="M105" s="160">
        <v>1</v>
      </c>
      <c r="N105" s="191"/>
      <c r="O105" s="190" t="str">
        <f t="shared" si="13"/>
        <v/>
      </c>
      <c r="P105" s="191"/>
      <c r="Q105" s="190" t="str">
        <f t="shared" si="14"/>
        <v/>
      </c>
      <c r="R105" s="191"/>
      <c r="S105" s="190" t="str">
        <f t="shared" si="15"/>
        <v/>
      </c>
      <c r="T105" s="44"/>
    </row>
    <row r="106" spans="1:20">
      <c r="A106" s="23"/>
      <c r="B106" s="34" t="s">
        <v>129</v>
      </c>
      <c r="C106" s="35" t="s">
        <v>131</v>
      </c>
      <c r="D106" s="36" t="s">
        <v>24</v>
      </c>
      <c r="E106" s="211" t="s">
        <v>276</v>
      </c>
      <c r="F106" s="36" t="s">
        <v>135</v>
      </c>
      <c r="G106" s="36"/>
      <c r="H106" s="35"/>
      <c r="I106" s="35" t="s">
        <v>132</v>
      </c>
      <c r="J106" s="35" t="s">
        <v>72</v>
      </c>
      <c r="K106" s="159" t="e">
        <f t="shared" ref="K106:K122" si="56">IF(NOT(ISBLANK(J106)),VLOOKUP(J106, metrics_lookup_table, 4, FALSE))</f>
        <v>#N/A</v>
      </c>
      <c r="L106" s="159" t="e">
        <f t="shared" ref="L106:L122" si="57">IF(NOT(ISBLANK(J106)),VLOOKUP(J106, metrics_lookup_table, 5, FALSE))</f>
        <v>#N/A</v>
      </c>
      <c r="M106" s="160">
        <v>1</v>
      </c>
      <c r="N106" s="191">
        <v>2</v>
      </c>
      <c r="O106" s="190" t="str">
        <f t="shared" si="13"/>
        <v/>
      </c>
      <c r="P106" s="191">
        <v>3</v>
      </c>
      <c r="Q106" s="190" t="str">
        <f t="shared" si="14"/>
        <v/>
      </c>
      <c r="R106" s="191"/>
      <c r="S106" s="190" t="str">
        <f t="shared" si="15"/>
        <v/>
      </c>
      <c r="T106" s="44"/>
    </row>
    <row r="107" spans="1:20">
      <c r="A107" s="23"/>
      <c r="B107" s="34" t="s">
        <v>129</v>
      </c>
      <c r="C107" s="35" t="s">
        <v>131</v>
      </c>
      <c r="D107" s="36" t="s">
        <v>24</v>
      </c>
      <c r="E107" s="211" t="s">
        <v>277</v>
      </c>
      <c r="F107" s="36" t="s">
        <v>135</v>
      </c>
      <c r="G107" s="36"/>
      <c r="H107" s="35"/>
      <c r="I107" s="35" t="s">
        <v>132</v>
      </c>
      <c r="J107" s="35" t="s">
        <v>75</v>
      </c>
      <c r="K107" s="159" t="e">
        <f t="shared" si="56"/>
        <v>#N/A</v>
      </c>
      <c r="L107" s="159" t="e">
        <f t="shared" si="57"/>
        <v>#N/A</v>
      </c>
      <c r="M107" s="160">
        <v>1</v>
      </c>
      <c r="N107" s="191">
        <v>1.5</v>
      </c>
      <c r="O107" s="190" t="str">
        <f t="shared" si="13"/>
        <v/>
      </c>
      <c r="P107" s="191">
        <v>2.3125</v>
      </c>
      <c r="Q107" s="190" t="str">
        <f t="shared" si="14"/>
        <v/>
      </c>
      <c r="R107" s="191"/>
      <c r="S107" s="190" t="str">
        <f t="shared" si="15"/>
        <v/>
      </c>
      <c r="T107" s="44"/>
    </row>
    <row r="108" spans="1:20">
      <c r="A108" s="23"/>
      <c r="B108" s="34" t="s">
        <v>129</v>
      </c>
      <c r="C108" s="35" t="s">
        <v>131</v>
      </c>
      <c r="D108" s="36" t="s">
        <v>24</v>
      </c>
      <c r="E108" s="211" t="s">
        <v>278</v>
      </c>
      <c r="F108" s="36" t="s">
        <v>135</v>
      </c>
      <c r="G108" s="36"/>
      <c r="H108" s="35"/>
      <c r="I108" s="35" t="s">
        <v>132</v>
      </c>
      <c r="J108" s="35" t="s">
        <v>72</v>
      </c>
      <c r="K108" s="159" t="e">
        <f t="shared" si="56"/>
        <v>#N/A</v>
      </c>
      <c r="L108" s="159" t="e">
        <f t="shared" si="57"/>
        <v>#N/A</v>
      </c>
      <c r="M108" s="160">
        <v>1</v>
      </c>
      <c r="N108" s="191">
        <v>1</v>
      </c>
      <c r="O108" s="190" t="str">
        <f t="shared" si="13"/>
        <v/>
      </c>
      <c r="P108" s="191">
        <v>2</v>
      </c>
      <c r="Q108" s="190" t="str">
        <f t="shared" si="14"/>
        <v/>
      </c>
      <c r="R108" s="191"/>
      <c r="S108" s="190" t="str">
        <f t="shared" si="15"/>
        <v/>
      </c>
      <c r="T108" s="44"/>
    </row>
    <row r="109" spans="1:20">
      <c r="A109" s="23"/>
      <c r="B109" s="34" t="s">
        <v>129</v>
      </c>
      <c r="C109" s="35" t="s">
        <v>131</v>
      </c>
      <c r="D109" s="36" t="s">
        <v>24</v>
      </c>
      <c r="E109" s="211" t="s">
        <v>279</v>
      </c>
      <c r="F109" s="36" t="s">
        <v>135</v>
      </c>
      <c r="G109" s="36"/>
      <c r="H109" s="35"/>
      <c r="I109" s="35" t="s">
        <v>132</v>
      </c>
      <c r="J109" s="35" t="s">
        <v>75</v>
      </c>
      <c r="K109" s="159" t="e">
        <f t="shared" si="56"/>
        <v>#N/A</v>
      </c>
      <c r="L109" s="159" t="e">
        <f t="shared" si="57"/>
        <v>#N/A</v>
      </c>
      <c r="M109" s="160">
        <v>1</v>
      </c>
      <c r="N109" s="191">
        <v>1.5</v>
      </c>
      <c r="O109" s="190" t="str">
        <f t="shared" si="13"/>
        <v/>
      </c>
      <c r="P109" s="191">
        <v>2.3125</v>
      </c>
      <c r="Q109" s="190" t="str">
        <f t="shared" si="14"/>
        <v/>
      </c>
      <c r="R109" s="191"/>
      <c r="S109" s="190" t="str">
        <f t="shared" si="15"/>
        <v/>
      </c>
      <c r="T109" s="44"/>
    </row>
    <row r="110" spans="1:20">
      <c r="A110" s="23"/>
      <c r="B110" s="34" t="s">
        <v>129</v>
      </c>
      <c r="C110" s="35" t="s">
        <v>131</v>
      </c>
      <c r="D110" s="36" t="s">
        <v>24</v>
      </c>
      <c r="E110" s="211" t="s">
        <v>280</v>
      </c>
      <c r="F110" s="36" t="s">
        <v>135</v>
      </c>
      <c r="G110" s="36"/>
      <c r="H110" s="35"/>
      <c r="I110" s="35" t="s">
        <v>132</v>
      </c>
      <c r="J110" s="35" t="s">
        <v>76</v>
      </c>
      <c r="K110" s="159" t="e">
        <f t="shared" si="56"/>
        <v>#N/A</v>
      </c>
      <c r="L110" s="159" t="e">
        <f t="shared" si="57"/>
        <v>#N/A</v>
      </c>
      <c r="M110" s="160">
        <v>1</v>
      </c>
      <c r="N110" s="191">
        <v>2.5</v>
      </c>
      <c r="O110" s="190" t="str">
        <f t="shared" si="13"/>
        <v/>
      </c>
      <c r="P110" s="191">
        <v>3.75</v>
      </c>
      <c r="Q110" s="190" t="str">
        <f t="shared" si="14"/>
        <v/>
      </c>
      <c r="R110" s="191"/>
      <c r="S110" s="190" t="str">
        <f t="shared" si="15"/>
        <v/>
      </c>
      <c r="T110" s="44"/>
    </row>
    <row r="111" spans="1:20">
      <c r="A111" s="23"/>
      <c r="B111" s="34"/>
      <c r="C111" s="35" t="s">
        <v>131</v>
      </c>
      <c r="D111" s="36" t="s">
        <v>24</v>
      </c>
      <c r="E111" s="211" t="s">
        <v>281</v>
      </c>
      <c r="F111" s="36" t="s">
        <v>135</v>
      </c>
      <c r="G111" s="36"/>
      <c r="H111" s="35"/>
      <c r="I111" s="35" t="s">
        <v>132</v>
      </c>
      <c r="J111" s="35" t="s">
        <v>75</v>
      </c>
      <c r="K111" s="159" t="e">
        <f t="shared" si="56"/>
        <v>#N/A</v>
      </c>
      <c r="L111" s="159" t="e">
        <f t="shared" si="57"/>
        <v>#N/A</v>
      </c>
      <c r="M111" s="160">
        <v>1</v>
      </c>
      <c r="N111" s="191">
        <v>1.5</v>
      </c>
      <c r="O111" s="190" t="str">
        <f t="shared" ref="O111:O527" si="58">IF(AND($I111="In",ISNUMBER($K111)),$M111*$K111,"")</f>
        <v/>
      </c>
      <c r="P111" s="191">
        <v>2.3125</v>
      </c>
      <c r="Q111" s="190" t="str">
        <f t="shared" ref="Q111:Q526" si="59">IF(AND($I111="In",ISNUMBER($L111)),$M111*$L111,"")</f>
        <v/>
      </c>
      <c r="R111" s="191"/>
      <c r="S111" s="190" t="str">
        <f t="shared" ref="S111" si="60">IF(AND(ISNUMBER(O111),ISNUMBER(Q111)),ROUND((O111+Q111)/2, 1),"")</f>
        <v/>
      </c>
      <c r="T111" s="44"/>
    </row>
    <row r="112" spans="1:20">
      <c r="A112" s="23"/>
      <c r="B112" s="34"/>
      <c r="C112" s="35" t="s">
        <v>131</v>
      </c>
      <c r="D112" s="36" t="s">
        <v>24</v>
      </c>
      <c r="E112" s="211" t="s">
        <v>282</v>
      </c>
      <c r="F112" s="36" t="s">
        <v>135</v>
      </c>
      <c r="G112" s="36"/>
      <c r="H112" s="258" t="s">
        <v>283</v>
      </c>
      <c r="I112" s="35" t="s">
        <v>132</v>
      </c>
      <c r="J112" s="35" t="s">
        <v>75</v>
      </c>
      <c r="K112" s="159" t="e">
        <f t="shared" si="56"/>
        <v>#N/A</v>
      </c>
      <c r="L112" s="159" t="e">
        <f t="shared" si="57"/>
        <v>#N/A</v>
      </c>
      <c r="M112" s="160">
        <v>1</v>
      </c>
      <c r="N112" s="191">
        <v>1.5</v>
      </c>
      <c r="O112" s="190" t="str">
        <f t="shared" si="58"/>
        <v/>
      </c>
      <c r="P112" s="191">
        <v>2.3125</v>
      </c>
      <c r="Q112" s="190" t="str">
        <f t="shared" si="59"/>
        <v/>
      </c>
      <c r="R112" s="191"/>
      <c r="S112" s="190" t="str">
        <f t="shared" ref="S112:S127" si="61">IF(AND(ISNUMBER(O112),ISNUMBER(Q112)),ROUND((O112+Q112)/2, 1),"")</f>
        <v/>
      </c>
      <c r="T112" s="44"/>
    </row>
    <row r="113" spans="1:20">
      <c r="A113" s="23"/>
      <c r="B113" s="34"/>
      <c r="C113" s="35" t="s">
        <v>131</v>
      </c>
      <c r="D113" s="36" t="s">
        <v>24</v>
      </c>
      <c r="E113" s="211" t="s">
        <v>284</v>
      </c>
      <c r="F113" s="36" t="s">
        <v>135</v>
      </c>
      <c r="G113" s="36"/>
      <c r="H113" s="35"/>
      <c r="I113" s="35" t="s">
        <v>132</v>
      </c>
      <c r="J113" s="35" t="s">
        <v>72</v>
      </c>
      <c r="K113" s="159" t="e">
        <f t="shared" si="56"/>
        <v>#N/A</v>
      </c>
      <c r="L113" s="159" t="e">
        <f t="shared" si="57"/>
        <v>#N/A</v>
      </c>
      <c r="M113" s="160">
        <v>1</v>
      </c>
      <c r="N113" s="191">
        <v>2</v>
      </c>
      <c r="O113" s="190" t="str">
        <f t="shared" si="58"/>
        <v/>
      </c>
      <c r="P113" s="191">
        <v>3</v>
      </c>
      <c r="Q113" s="190" t="str">
        <f t="shared" si="59"/>
        <v/>
      </c>
      <c r="R113" s="191"/>
      <c r="S113" s="190" t="str">
        <f t="shared" ref="S113" si="62">IF(AND(ISNUMBER(O113),ISNUMBER(Q113)),ROUND((O113+Q113)/2, 1),"")</f>
        <v/>
      </c>
      <c r="T113" s="44"/>
    </row>
    <row r="114" spans="1:20">
      <c r="A114" s="23"/>
      <c r="B114" s="34"/>
      <c r="C114" s="35" t="s">
        <v>131</v>
      </c>
      <c r="D114" s="36" t="s">
        <v>24</v>
      </c>
      <c r="E114" s="211" t="s">
        <v>285</v>
      </c>
      <c r="F114" s="36" t="s">
        <v>135</v>
      </c>
      <c r="G114" s="36"/>
      <c r="H114" s="35"/>
      <c r="I114" s="35" t="s">
        <v>132</v>
      </c>
      <c r="J114" s="35" t="s">
        <v>72</v>
      </c>
      <c r="K114" s="159" t="e">
        <f t="shared" si="56"/>
        <v>#N/A</v>
      </c>
      <c r="L114" s="159" t="e">
        <f t="shared" si="57"/>
        <v>#N/A</v>
      </c>
      <c r="M114" s="160">
        <v>1</v>
      </c>
      <c r="N114" s="191">
        <v>1</v>
      </c>
      <c r="O114" s="190" t="str">
        <f t="shared" ref="O114:O122" si="63">IF(AND($I114="In",ISNUMBER($K114)),$M114*$K114,"")</f>
        <v/>
      </c>
      <c r="P114" s="191">
        <v>2</v>
      </c>
      <c r="Q114" s="190" t="str">
        <f t="shared" ref="Q114:Q122" si="64">IF(AND($I114="In",ISNUMBER($L114)),$M114*$L114,"")</f>
        <v/>
      </c>
      <c r="R114" s="191"/>
      <c r="S114" s="190" t="str">
        <f t="shared" ref="S114" si="65">IF(AND(ISNUMBER(O114),ISNUMBER(Q114)),ROUND((O114+Q114)/2, 1),"")</f>
        <v/>
      </c>
      <c r="T114" s="44"/>
    </row>
    <row r="115" spans="1:20">
      <c r="A115" s="23"/>
      <c r="B115" s="34"/>
      <c r="C115" s="35" t="s">
        <v>131</v>
      </c>
      <c r="D115" s="36" t="s">
        <v>24</v>
      </c>
      <c r="E115" s="211" t="s">
        <v>286</v>
      </c>
      <c r="F115" s="36" t="s">
        <v>135</v>
      </c>
      <c r="G115" s="36"/>
      <c r="H115" s="35"/>
      <c r="I115" s="35" t="s">
        <v>132</v>
      </c>
      <c r="J115" s="35" t="s">
        <v>72</v>
      </c>
      <c r="K115" s="159" t="e">
        <f t="shared" si="56"/>
        <v>#N/A</v>
      </c>
      <c r="L115" s="159" t="e">
        <f t="shared" si="57"/>
        <v>#N/A</v>
      </c>
      <c r="M115" s="160">
        <v>1</v>
      </c>
      <c r="N115" s="191">
        <v>1</v>
      </c>
      <c r="O115" s="190" t="str">
        <f t="shared" si="63"/>
        <v/>
      </c>
      <c r="P115" s="191">
        <v>2</v>
      </c>
      <c r="Q115" s="190" t="str">
        <f t="shared" si="64"/>
        <v/>
      </c>
      <c r="R115" s="191"/>
      <c r="S115" s="190" t="str">
        <f t="shared" ref="S115" si="66">IF(AND(ISNUMBER(O115),ISNUMBER(Q115)),ROUND((O115+Q115)/2, 1),"")</f>
        <v/>
      </c>
      <c r="T115" s="44"/>
    </row>
    <row r="116" spans="1:20">
      <c r="A116" s="23"/>
      <c r="B116" s="34"/>
      <c r="C116" s="35" t="s">
        <v>131</v>
      </c>
      <c r="D116" s="36" t="s">
        <v>24</v>
      </c>
      <c r="E116" s="211" t="s">
        <v>287</v>
      </c>
      <c r="F116" s="36" t="s">
        <v>135</v>
      </c>
      <c r="G116" s="36"/>
      <c r="H116" s="35"/>
      <c r="I116" s="35" t="s">
        <v>132</v>
      </c>
      <c r="J116" s="35" t="s">
        <v>72</v>
      </c>
      <c r="K116" s="159" t="e">
        <f t="shared" si="56"/>
        <v>#N/A</v>
      </c>
      <c r="L116" s="159" t="e">
        <f t="shared" si="57"/>
        <v>#N/A</v>
      </c>
      <c r="M116" s="160">
        <v>1</v>
      </c>
      <c r="N116" s="191">
        <v>1</v>
      </c>
      <c r="O116" s="190" t="str">
        <f t="shared" si="63"/>
        <v/>
      </c>
      <c r="P116" s="191">
        <v>2</v>
      </c>
      <c r="Q116" s="190" t="str">
        <f t="shared" si="64"/>
        <v/>
      </c>
      <c r="R116" s="191"/>
      <c r="S116" s="190" t="str">
        <f t="shared" ref="S116" si="67">IF(AND(ISNUMBER(O116),ISNUMBER(Q116)),ROUND((O116+Q116)/2, 1),"")</f>
        <v/>
      </c>
      <c r="T116" s="44"/>
    </row>
    <row r="117" spans="1:20">
      <c r="A117" s="23"/>
      <c r="B117" s="34"/>
      <c r="C117" s="35" t="s">
        <v>131</v>
      </c>
      <c r="D117" s="36" t="s">
        <v>24</v>
      </c>
      <c r="E117" s="290" t="s">
        <v>288</v>
      </c>
      <c r="F117" s="36" t="s">
        <v>135</v>
      </c>
      <c r="G117" s="36"/>
      <c r="H117" s="258" t="s">
        <v>289</v>
      </c>
      <c r="I117" s="35" t="s">
        <v>137</v>
      </c>
      <c r="J117" s="35" t="s">
        <v>75</v>
      </c>
      <c r="K117" s="159" t="e">
        <f>IF(NOT(ISBLANK(J117)),VLOOKUP(J117, metrics_lookup_table, 4, FALSE))</f>
        <v>#N/A</v>
      </c>
      <c r="L117" s="159" t="e">
        <f>IF(NOT(ISBLANK(J117)),VLOOKUP(J117, metrics_lookup_table, 5, FALSE))</f>
        <v>#N/A</v>
      </c>
      <c r="M117" s="160">
        <v>1</v>
      </c>
      <c r="N117" s="191">
        <v>1.5</v>
      </c>
      <c r="O117" s="190" t="str">
        <f t="shared" si="63"/>
        <v/>
      </c>
      <c r="P117" s="191">
        <v>2.3125</v>
      </c>
      <c r="Q117" s="190" t="str">
        <f t="shared" si="64"/>
        <v/>
      </c>
      <c r="R117" s="191"/>
      <c r="S117" s="190" t="str">
        <f t="shared" ref="S117" si="68">IF(AND(ISNUMBER(O117),ISNUMBER(Q117)),ROUND((O117+Q117)/2, 1),"")</f>
        <v/>
      </c>
      <c r="T117" s="44"/>
    </row>
    <row r="118" spans="1:20">
      <c r="A118" s="23"/>
      <c r="B118" s="34"/>
      <c r="C118" s="35" t="s">
        <v>131</v>
      </c>
      <c r="D118" s="36" t="s">
        <v>24</v>
      </c>
      <c r="E118" s="290" t="s">
        <v>290</v>
      </c>
      <c r="F118" s="36" t="s">
        <v>135</v>
      </c>
      <c r="G118" s="36"/>
      <c r="H118" s="258" t="s">
        <v>289</v>
      </c>
      <c r="I118" s="35" t="s">
        <v>132</v>
      </c>
      <c r="J118" s="35" t="s">
        <v>72</v>
      </c>
      <c r="K118" s="159" t="e">
        <f>IF(NOT(ISBLANK(J118)),VLOOKUP(J118, metrics_lookup_table, 4, FALSE))</f>
        <v>#N/A</v>
      </c>
      <c r="L118" s="159" t="e">
        <f>IF(NOT(ISBLANK(J118)),VLOOKUP(J118, metrics_lookup_table, 5, FALSE))</f>
        <v>#N/A</v>
      </c>
      <c r="M118" s="160">
        <v>1</v>
      </c>
      <c r="N118" s="191">
        <v>1.0625</v>
      </c>
      <c r="O118" s="190" t="str">
        <f t="shared" si="63"/>
        <v/>
      </c>
      <c r="P118" s="191">
        <v>1.875</v>
      </c>
      <c r="Q118" s="190" t="str">
        <f t="shared" si="64"/>
        <v/>
      </c>
      <c r="R118" s="191"/>
      <c r="S118" s="190" t="str">
        <f t="shared" ref="S118" si="69">IF(AND(ISNUMBER(O118),ISNUMBER(Q118)),ROUND((O118+Q118)/2, 1),"")</f>
        <v/>
      </c>
      <c r="T118" s="44" t="s">
        <v>291</v>
      </c>
    </row>
    <row r="119" spans="1:20">
      <c r="A119" s="23"/>
      <c r="B119" s="34"/>
      <c r="C119" s="35" t="s">
        <v>131</v>
      </c>
      <c r="D119" s="36" t="s">
        <v>24</v>
      </c>
      <c r="E119" s="211" t="s">
        <v>292</v>
      </c>
      <c r="F119" s="36" t="s">
        <v>135</v>
      </c>
      <c r="G119" s="258" t="s">
        <v>293</v>
      </c>
      <c r="H119" s="35"/>
      <c r="I119" s="35" t="s">
        <v>132</v>
      </c>
      <c r="J119" s="35" t="s">
        <v>72</v>
      </c>
      <c r="K119" s="159" t="e">
        <f t="shared" ref="K119" si="70">IF(NOT(ISBLANK(J119)),VLOOKUP(J119, metrics_lookup_table, 4, FALSE))</f>
        <v>#N/A</v>
      </c>
      <c r="L119" s="159" t="e">
        <f t="shared" ref="L119" si="71">IF(NOT(ISBLANK(J119)),VLOOKUP(J119, metrics_lookup_table, 5, FALSE))</f>
        <v>#N/A</v>
      </c>
      <c r="M119" s="160">
        <v>1</v>
      </c>
      <c r="N119" s="191">
        <v>1</v>
      </c>
      <c r="O119" s="190" t="str">
        <f t="shared" si="63"/>
        <v/>
      </c>
      <c r="P119" s="191">
        <v>2</v>
      </c>
      <c r="Q119" s="190" t="str">
        <f t="shared" si="64"/>
        <v/>
      </c>
      <c r="R119" s="191"/>
      <c r="S119" s="190" t="str">
        <f t="shared" ref="S119" si="72">IF(AND(ISNUMBER(O119),ISNUMBER(Q119)),ROUND((O119+Q119)/2, 1),"")</f>
        <v/>
      </c>
      <c r="T119" s="44"/>
    </row>
    <row r="120" spans="1:20">
      <c r="A120" s="23"/>
      <c r="B120" s="34"/>
      <c r="C120" s="35" t="s">
        <v>131</v>
      </c>
      <c r="D120" s="36" t="s">
        <v>24</v>
      </c>
      <c r="E120" s="211" t="s">
        <v>294</v>
      </c>
      <c r="F120" s="36" t="s">
        <v>135</v>
      </c>
      <c r="G120" s="258" t="s">
        <v>295</v>
      </c>
      <c r="H120" s="35"/>
      <c r="I120" s="35" t="s">
        <v>132</v>
      </c>
      <c r="J120" s="35" t="s">
        <v>72</v>
      </c>
      <c r="K120" s="159" t="e">
        <f t="shared" ref="K120" si="73">IF(NOT(ISBLANK(J120)),VLOOKUP(J120, metrics_lookup_table, 4, FALSE))</f>
        <v>#N/A</v>
      </c>
      <c r="L120" s="159" t="e">
        <f t="shared" ref="L120" si="74">IF(NOT(ISBLANK(J120)),VLOOKUP(J120, metrics_lookup_table, 5, FALSE))</f>
        <v>#N/A</v>
      </c>
      <c r="M120" s="160">
        <v>1</v>
      </c>
      <c r="N120" s="191">
        <v>1</v>
      </c>
      <c r="O120" s="190" t="str">
        <f t="shared" si="63"/>
        <v/>
      </c>
      <c r="P120" s="191">
        <v>2</v>
      </c>
      <c r="Q120" s="190" t="str">
        <f t="shared" si="64"/>
        <v/>
      </c>
      <c r="R120" s="191"/>
      <c r="S120" s="190" t="str">
        <f t="shared" ref="S120" si="75">IF(AND(ISNUMBER(O120),ISNUMBER(Q120)),ROUND((O120+Q120)/2, 1),"")</f>
        <v/>
      </c>
      <c r="T120" s="44"/>
    </row>
    <row r="121" spans="1:20">
      <c r="A121" s="23"/>
      <c r="B121" s="34"/>
      <c r="C121" s="35" t="s">
        <v>131</v>
      </c>
      <c r="D121" s="36" t="s">
        <v>24</v>
      </c>
      <c r="E121" s="211" t="s">
        <v>296</v>
      </c>
      <c r="F121" s="36" t="s">
        <v>135</v>
      </c>
      <c r="G121" s="258" t="s">
        <v>297</v>
      </c>
      <c r="H121" s="35"/>
      <c r="I121" s="35" t="s">
        <v>132</v>
      </c>
      <c r="J121" s="35" t="s">
        <v>72</v>
      </c>
      <c r="K121" s="159" t="e">
        <f t="shared" ref="K121" si="76">IF(NOT(ISBLANK(J121)),VLOOKUP(J121, metrics_lookup_table, 4, FALSE))</f>
        <v>#N/A</v>
      </c>
      <c r="L121" s="159" t="e">
        <f t="shared" ref="L121" si="77">IF(NOT(ISBLANK(J121)),VLOOKUP(J121, metrics_lookup_table, 5, FALSE))</f>
        <v>#N/A</v>
      </c>
      <c r="M121" s="160">
        <v>1</v>
      </c>
      <c r="N121" s="191">
        <v>1</v>
      </c>
      <c r="O121" s="190" t="str">
        <f t="shared" si="63"/>
        <v/>
      </c>
      <c r="P121" s="191">
        <v>2</v>
      </c>
      <c r="Q121" s="190" t="str">
        <f t="shared" si="64"/>
        <v/>
      </c>
      <c r="R121" s="191"/>
      <c r="S121" s="190" t="str">
        <f t="shared" ref="S121" si="78">IF(AND(ISNUMBER(O121),ISNUMBER(Q121)),ROUND((O121+Q121)/2, 1),"")</f>
        <v/>
      </c>
      <c r="T121" s="44"/>
    </row>
    <row r="122" spans="1:20">
      <c r="A122" s="23"/>
      <c r="B122" s="34"/>
      <c r="C122" s="35" t="s">
        <v>131</v>
      </c>
      <c r="D122" s="36" t="s">
        <v>24</v>
      </c>
      <c r="E122" s="211" t="s">
        <v>298</v>
      </c>
      <c r="F122" s="36" t="s">
        <v>135</v>
      </c>
      <c r="G122" s="36"/>
      <c r="H122" s="35"/>
      <c r="I122" s="35" t="s">
        <v>132</v>
      </c>
      <c r="J122" s="35" t="s">
        <v>72</v>
      </c>
      <c r="K122" s="159" t="e">
        <f t="shared" si="56"/>
        <v>#N/A</v>
      </c>
      <c r="L122" s="159" t="e">
        <f t="shared" si="57"/>
        <v>#N/A</v>
      </c>
      <c r="M122" s="160">
        <v>1</v>
      </c>
      <c r="N122" s="191">
        <v>1</v>
      </c>
      <c r="O122" s="190" t="str">
        <f t="shared" si="63"/>
        <v/>
      </c>
      <c r="P122" s="191">
        <v>2</v>
      </c>
      <c r="Q122" s="190" t="str">
        <f t="shared" si="64"/>
        <v/>
      </c>
      <c r="R122" s="191"/>
      <c r="S122" s="190" t="str">
        <f t="shared" ref="S122" si="79">IF(AND(ISNUMBER(O122),ISNUMBER(Q122)),ROUND((O122+Q122)/2, 1),"")</f>
        <v/>
      </c>
      <c r="T122" s="44"/>
    </row>
    <row r="123" spans="1:20" ht="26">
      <c r="A123" s="23"/>
      <c r="B123" s="34"/>
      <c r="C123" s="35" t="s">
        <v>131</v>
      </c>
      <c r="D123" s="36" t="s">
        <v>24</v>
      </c>
      <c r="E123" s="211" t="s">
        <v>299</v>
      </c>
      <c r="F123" s="36" t="s">
        <v>135</v>
      </c>
      <c r="G123" s="36"/>
      <c r="H123" s="35"/>
      <c r="I123" s="35" t="s">
        <v>132</v>
      </c>
      <c r="J123" s="35"/>
      <c r="K123" s="159">
        <v>6</v>
      </c>
      <c r="L123" s="159">
        <v>8</v>
      </c>
      <c r="M123" s="160">
        <v>1</v>
      </c>
      <c r="N123" s="191">
        <v>2</v>
      </c>
      <c r="O123" s="190">
        <f t="shared" si="58"/>
        <v>6</v>
      </c>
      <c r="P123" s="191">
        <v>2.5</v>
      </c>
      <c r="Q123" s="190">
        <f t="shared" si="59"/>
        <v>8</v>
      </c>
      <c r="R123" s="191"/>
      <c r="S123" s="190">
        <f t="shared" ref="S123:S126" si="80">IF(AND(ISNUMBER(O123),ISNUMBER(Q123)),ROUND((O123+Q123)/2, 1),"")</f>
        <v>7</v>
      </c>
      <c r="T123" s="294" t="s">
        <v>300</v>
      </c>
    </row>
    <row r="124" spans="1:20" ht="26">
      <c r="A124" s="23"/>
      <c r="B124" s="34"/>
      <c r="C124" s="35" t="s">
        <v>131</v>
      </c>
      <c r="D124" s="36" t="s">
        <v>24</v>
      </c>
      <c r="E124" s="36" t="s">
        <v>301</v>
      </c>
      <c r="F124" s="36" t="s">
        <v>149</v>
      </c>
      <c r="G124" t="s">
        <v>302</v>
      </c>
      <c r="H124" s="35"/>
      <c r="I124" s="35" t="s">
        <v>132</v>
      </c>
      <c r="J124" s="35"/>
      <c r="K124" s="159">
        <v>1</v>
      </c>
      <c r="L124" s="159">
        <v>2</v>
      </c>
      <c r="M124" s="160">
        <v>5</v>
      </c>
      <c r="N124" s="191">
        <v>1.4375</v>
      </c>
      <c r="O124" s="190">
        <f t="shared" ref="O124:O126" si="81">IF(AND($I124="In",ISNUMBER($K124)),$M124*$K124,"")</f>
        <v>5</v>
      </c>
      <c r="P124" s="191">
        <v>2.0625</v>
      </c>
      <c r="Q124" s="190">
        <f t="shared" ref="Q124:Q126" si="82">IF(AND($I124="In",ISNUMBER($L124)),$M124*$L124,"")</f>
        <v>10</v>
      </c>
      <c r="R124" s="191"/>
      <c r="S124" s="190">
        <f t="shared" si="80"/>
        <v>7.5</v>
      </c>
      <c r="T124" s="44"/>
    </row>
    <row r="125" spans="1:20" ht="16.5" customHeight="1">
      <c r="A125" s="23"/>
      <c r="B125" s="34"/>
      <c r="C125" s="35" t="s">
        <v>131</v>
      </c>
      <c r="D125" s="36" t="s">
        <v>24</v>
      </c>
      <c r="E125" s="36" t="s">
        <v>303</v>
      </c>
      <c r="F125" s="36" t="s">
        <v>149</v>
      </c>
      <c r="G125" t="s">
        <v>304</v>
      </c>
      <c r="H125" s="35"/>
      <c r="I125" s="35" t="s">
        <v>132</v>
      </c>
      <c r="J125" s="35" t="s">
        <v>72</v>
      </c>
      <c r="K125" s="159" t="e">
        <f>IF(NOT(ISBLANK(J125)),VLOOKUP(J125, metrics_lookup_table, 4, FALSE))</f>
        <v>#N/A</v>
      </c>
      <c r="L125" s="159" t="e">
        <f>IF(NOT(ISBLANK(J125)),VLOOKUP(J125, metrics_lookup_table, 5, FALSE))</f>
        <v>#N/A</v>
      </c>
      <c r="M125" s="160">
        <v>7</v>
      </c>
      <c r="N125" s="191">
        <v>1.0625</v>
      </c>
      <c r="O125" s="190" t="str">
        <f t="shared" si="81"/>
        <v/>
      </c>
      <c r="P125" s="191">
        <v>1.875</v>
      </c>
      <c r="Q125" s="190" t="str">
        <f t="shared" si="82"/>
        <v/>
      </c>
      <c r="R125" s="191"/>
      <c r="S125" s="190" t="str">
        <f t="shared" si="80"/>
        <v/>
      </c>
      <c r="T125" s="44"/>
    </row>
    <row r="126" spans="1:20" ht="16.5" customHeight="1">
      <c r="A126" s="23"/>
      <c r="B126" s="34"/>
      <c r="C126" s="35" t="s">
        <v>131</v>
      </c>
      <c r="D126" s="36" t="s">
        <v>24</v>
      </c>
      <c r="E126" s="36" t="s">
        <v>303</v>
      </c>
      <c r="F126" s="36" t="s">
        <v>149</v>
      </c>
      <c r="G126" t="s">
        <v>305</v>
      </c>
      <c r="H126" s="35"/>
      <c r="I126" s="35" t="s">
        <v>132</v>
      </c>
      <c r="J126" s="35" t="s">
        <v>75</v>
      </c>
      <c r="K126" s="159" t="e">
        <f>IF(NOT(ISBLANK(J126)),VLOOKUP(J126, metrics_lookup_table, 4, FALSE))</f>
        <v>#N/A</v>
      </c>
      <c r="L126" s="159" t="e">
        <f>IF(NOT(ISBLANK(J126)),VLOOKUP(J126, metrics_lookup_table, 5, FALSE))</f>
        <v>#N/A</v>
      </c>
      <c r="M126" s="160">
        <v>8</v>
      </c>
      <c r="N126" s="191">
        <v>1.5</v>
      </c>
      <c r="O126" s="190" t="str">
        <f t="shared" si="81"/>
        <v/>
      </c>
      <c r="P126" s="191">
        <v>2.3125</v>
      </c>
      <c r="Q126" s="190" t="str">
        <f t="shared" si="82"/>
        <v/>
      </c>
      <c r="R126" s="191"/>
      <c r="S126" s="190" t="str">
        <f t="shared" si="80"/>
        <v/>
      </c>
      <c r="T126" s="44"/>
    </row>
    <row r="127" spans="1:20">
      <c r="A127" s="23"/>
      <c r="B127" s="34"/>
      <c r="C127" s="35" t="s">
        <v>131</v>
      </c>
      <c r="D127" s="36" t="s">
        <v>24</v>
      </c>
      <c r="E127" s="211" t="s">
        <v>306</v>
      </c>
      <c r="F127" s="36" t="s">
        <v>135</v>
      </c>
      <c r="G127" s="36"/>
      <c r="H127" s="35"/>
      <c r="I127" s="35" t="s">
        <v>132</v>
      </c>
      <c r="J127" s="35" t="s">
        <v>72</v>
      </c>
      <c r="K127" s="159" t="e">
        <f>IF(NOT(ISBLANK(J127)),VLOOKUP(J127, metrics_lookup_table, 4, FALSE))</f>
        <v>#N/A</v>
      </c>
      <c r="L127" s="159" t="e">
        <f>IF(NOT(ISBLANK(J127)),VLOOKUP(J127, metrics_lookup_table, 5, FALSE))</f>
        <v>#N/A</v>
      </c>
      <c r="M127" s="160">
        <v>1</v>
      </c>
      <c r="N127" s="191">
        <v>1</v>
      </c>
      <c r="O127" s="190" t="str">
        <f t="shared" si="58"/>
        <v/>
      </c>
      <c r="P127" s="191">
        <v>2</v>
      </c>
      <c r="Q127" s="190" t="str">
        <f t="shared" si="59"/>
        <v/>
      </c>
      <c r="R127" s="191"/>
      <c r="S127" s="190" t="str">
        <f t="shared" si="61"/>
        <v/>
      </c>
      <c r="T127" s="44"/>
    </row>
    <row r="128" spans="1:20">
      <c r="A128" s="23"/>
      <c r="B128" s="34"/>
      <c r="C128" s="35" t="s">
        <v>131</v>
      </c>
      <c r="D128" s="36" t="s">
        <v>24</v>
      </c>
      <c r="E128" s="211" t="s">
        <v>307</v>
      </c>
      <c r="F128" s="36" t="s">
        <v>135</v>
      </c>
      <c r="G128" s="36" t="s">
        <v>308</v>
      </c>
      <c r="H128" s="35"/>
      <c r="I128" s="35" t="s">
        <v>132</v>
      </c>
      <c r="J128" s="35" t="s">
        <v>72</v>
      </c>
      <c r="K128" s="159" t="e">
        <f>IF(NOT(ISBLANK(J128)),VLOOKUP(J128, metrics_lookup_table, 4, FALSE))</f>
        <v>#N/A</v>
      </c>
      <c r="L128" s="159" t="e">
        <f>IF(NOT(ISBLANK(J128)),VLOOKUP(J128, metrics_lookup_table, 5, FALSE))</f>
        <v>#N/A</v>
      </c>
      <c r="M128" s="160">
        <v>1</v>
      </c>
      <c r="N128" s="191">
        <v>1</v>
      </c>
      <c r="O128" s="190" t="str">
        <f t="shared" ref="O128" si="83">IF(AND($I128="In",ISNUMBER($K128)),$M128*$K128,"")</f>
        <v/>
      </c>
      <c r="P128" s="191">
        <v>2</v>
      </c>
      <c r="Q128" s="190" t="str">
        <f t="shared" ref="Q128" si="84">IF(AND($I128="In",ISNUMBER($L128)),$M128*$L128,"")</f>
        <v/>
      </c>
      <c r="R128" s="191"/>
      <c r="S128" s="190" t="str">
        <f t="shared" ref="S128" si="85">IF(AND(ISNUMBER(O128),ISNUMBER(Q128)),ROUND((O128+Q128)/2, 1),"")</f>
        <v/>
      </c>
      <c r="T128" s="44"/>
    </row>
    <row r="129" spans="1:20" ht="23.5">
      <c r="A129" s="23"/>
      <c r="B129" s="247" t="s">
        <v>129</v>
      </c>
      <c r="C129" s="248"/>
      <c r="D129" s="249"/>
      <c r="E129" s="256" t="s">
        <v>149</v>
      </c>
      <c r="F129" s="256"/>
      <c r="G129" s="249"/>
      <c r="H129" s="248"/>
      <c r="I129" s="248" t="s">
        <v>132</v>
      </c>
      <c r="J129" s="248"/>
      <c r="K129" s="250"/>
      <c r="L129" s="250"/>
      <c r="M129" s="251">
        <v>1</v>
      </c>
      <c r="N129" s="250"/>
      <c r="O129" s="250" t="str">
        <f t="shared" si="58"/>
        <v/>
      </c>
      <c r="P129" s="250"/>
      <c r="Q129" s="250" t="str">
        <f t="shared" si="59"/>
        <v/>
      </c>
      <c r="R129" s="250"/>
      <c r="S129" s="250" t="str">
        <f t="shared" si="2"/>
        <v/>
      </c>
      <c r="T129" s="252"/>
    </row>
    <row r="130" spans="1:20" ht="26">
      <c r="A130" s="23"/>
      <c r="B130" s="34" t="s">
        <v>129</v>
      </c>
      <c r="C130" s="35" t="s">
        <v>309</v>
      </c>
      <c r="D130" s="36" t="s">
        <v>24</v>
      </c>
      <c r="E130" s="36" t="s">
        <v>310</v>
      </c>
      <c r="F130" s="231" t="s">
        <v>135</v>
      </c>
      <c r="G130" s="36" t="s">
        <v>311</v>
      </c>
      <c r="H130" s="35"/>
      <c r="I130" s="35" t="s">
        <v>132</v>
      </c>
      <c r="J130" s="35"/>
      <c r="K130" s="159">
        <v>1</v>
      </c>
      <c r="L130" s="159">
        <v>2</v>
      </c>
      <c r="M130" s="160">
        <v>1</v>
      </c>
      <c r="N130" s="191"/>
      <c r="O130" s="190">
        <f t="shared" si="58"/>
        <v>1</v>
      </c>
      <c r="P130" s="191"/>
      <c r="Q130" s="190">
        <f t="shared" si="59"/>
        <v>2</v>
      </c>
      <c r="R130" s="191"/>
      <c r="S130" s="190">
        <f t="shared" si="2"/>
        <v>1.5</v>
      </c>
      <c r="T130" s="44"/>
    </row>
    <row r="131" spans="1:20" ht="26">
      <c r="A131" s="23"/>
      <c r="B131" s="34" t="s">
        <v>129</v>
      </c>
      <c r="C131" s="35"/>
      <c r="D131" s="36" t="s">
        <v>24</v>
      </c>
      <c r="E131" s="231" t="s">
        <v>312</v>
      </c>
      <c r="F131" s="231" t="s">
        <v>149</v>
      </c>
      <c r="G131" s="36"/>
      <c r="H131" s="35"/>
      <c r="I131" s="35" t="s">
        <v>132</v>
      </c>
      <c r="J131" s="35"/>
      <c r="K131" s="159"/>
      <c r="L131" s="159"/>
      <c r="M131" s="160"/>
      <c r="N131" s="191"/>
      <c r="O131" s="190" t="str">
        <f t="shared" si="58"/>
        <v/>
      </c>
      <c r="P131" s="191"/>
      <c r="Q131" s="190" t="str">
        <f t="shared" si="59"/>
        <v/>
      </c>
      <c r="R131" s="191"/>
      <c r="S131" s="190" t="str">
        <f>IF(AND(ISNUMBER(O131),ISNUMBER(Q131)),ROUND((O131+Q131)/2, 1),"")</f>
        <v/>
      </c>
      <c r="T131" s="44"/>
    </row>
    <row r="132" spans="1:20" ht="26">
      <c r="A132" s="23"/>
      <c r="B132" s="34" t="s">
        <v>129</v>
      </c>
      <c r="C132" s="35" t="s">
        <v>309</v>
      </c>
      <c r="D132" s="36" t="s">
        <v>24</v>
      </c>
      <c r="E132" s="211" t="s">
        <v>196</v>
      </c>
      <c r="F132" s="231" t="s">
        <v>135</v>
      </c>
      <c r="G132" s="36" t="s">
        <v>313</v>
      </c>
      <c r="H132" s="35"/>
      <c r="I132" s="35" t="s">
        <v>132</v>
      </c>
      <c r="J132" s="35"/>
      <c r="K132" s="159">
        <v>1</v>
      </c>
      <c r="L132" s="159">
        <v>2</v>
      </c>
      <c r="M132" s="160">
        <v>1</v>
      </c>
      <c r="N132" s="191"/>
      <c r="O132" s="190">
        <f t="shared" si="58"/>
        <v>1</v>
      </c>
      <c r="P132" s="191"/>
      <c r="Q132" s="190">
        <f t="shared" si="59"/>
        <v>2</v>
      </c>
      <c r="R132" s="191"/>
      <c r="S132" s="190">
        <f t="shared" ref="S132" si="86">IF(AND(ISNUMBER(O132),ISNUMBER(Q132)),ROUND((O132+Q132)/2, 1),"")</f>
        <v>1.5</v>
      </c>
      <c r="T132" s="44"/>
    </row>
    <row r="133" spans="1:20" ht="26">
      <c r="A133" s="23"/>
      <c r="B133" s="34" t="s">
        <v>129</v>
      </c>
      <c r="C133" s="35" t="s">
        <v>309</v>
      </c>
      <c r="D133" s="36" t="s">
        <v>24</v>
      </c>
      <c r="E133" s="211" t="s">
        <v>198</v>
      </c>
      <c r="F133" s="231" t="s">
        <v>149</v>
      </c>
      <c r="G133" s="36" t="s">
        <v>313</v>
      </c>
      <c r="H133" s="35"/>
      <c r="I133" s="35" t="s">
        <v>132</v>
      </c>
      <c r="J133" s="35"/>
      <c r="K133" s="159">
        <v>3</v>
      </c>
      <c r="L133" s="159">
        <v>5</v>
      </c>
      <c r="M133" s="160">
        <v>1</v>
      </c>
      <c r="N133" s="191"/>
      <c r="O133" s="190">
        <f t="shared" si="58"/>
        <v>3</v>
      </c>
      <c r="P133" s="191"/>
      <c r="Q133" s="190">
        <f t="shared" si="59"/>
        <v>5</v>
      </c>
      <c r="R133" s="191"/>
      <c r="S133" s="190">
        <f t="shared" ref="S133" si="87">IF(AND(ISNUMBER(O133),ISNUMBER(Q133)),ROUND((O133+Q133)/2, 1),"")</f>
        <v>4</v>
      </c>
      <c r="T133" s="44"/>
    </row>
    <row r="134" spans="1:20" ht="26">
      <c r="A134" s="23"/>
      <c r="B134" s="34" t="s">
        <v>129</v>
      </c>
      <c r="C134" s="35" t="s">
        <v>309</v>
      </c>
      <c r="D134" s="36" t="s">
        <v>24</v>
      </c>
      <c r="E134" s="211" t="s">
        <v>201</v>
      </c>
      <c r="F134" s="231" t="s">
        <v>135</v>
      </c>
      <c r="G134" s="36" t="s">
        <v>313</v>
      </c>
      <c r="H134" s="35"/>
      <c r="I134" s="35" t="s">
        <v>132</v>
      </c>
      <c r="J134" s="35"/>
      <c r="K134" s="159">
        <v>2</v>
      </c>
      <c r="L134" s="159">
        <v>3</v>
      </c>
      <c r="M134" s="160">
        <v>1</v>
      </c>
      <c r="N134" s="191"/>
      <c r="O134" s="190">
        <f t="shared" si="58"/>
        <v>2</v>
      </c>
      <c r="P134" s="191"/>
      <c r="Q134" s="190">
        <f t="shared" si="59"/>
        <v>3</v>
      </c>
      <c r="R134" s="191"/>
      <c r="S134" s="190">
        <f t="shared" ref="S134" si="88">IF(AND(ISNUMBER(O134),ISNUMBER(Q134)),ROUND((O134+Q134)/2, 1),"")</f>
        <v>2.5</v>
      </c>
      <c r="T134" s="44"/>
    </row>
    <row r="135" spans="1:20" ht="65">
      <c r="A135" s="23"/>
      <c r="B135" s="34" t="s">
        <v>129</v>
      </c>
      <c r="C135" s="35" t="s">
        <v>309</v>
      </c>
      <c r="D135" s="36" t="s">
        <v>24</v>
      </c>
      <c r="E135" s="211" t="s">
        <v>314</v>
      </c>
      <c r="F135" s="231" t="s">
        <v>149</v>
      </c>
      <c r="G135" s="36" t="s">
        <v>315</v>
      </c>
      <c r="H135" s="35"/>
      <c r="I135" s="35" t="s">
        <v>132</v>
      </c>
      <c r="J135" s="35"/>
      <c r="K135" s="159">
        <v>4</v>
      </c>
      <c r="L135" s="159">
        <v>6</v>
      </c>
      <c r="M135" s="160">
        <v>1</v>
      </c>
      <c r="N135" s="191"/>
      <c r="O135" s="190">
        <f t="shared" si="58"/>
        <v>4</v>
      </c>
      <c r="P135" s="191"/>
      <c r="Q135" s="190">
        <f t="shared" si="59"/>
        <v>6</v>
      </c>
      <c r="R135" s="191"/>
      <c r="S135" s="190">
        <f t="shared" ref="S135" si="89">IF(AND(ISNUMBER(O135),ISNUMBER(Q135)),ROUND((O135+Q135)/2, 1),"")</f>
        <v>5</v>
      </c>
      <c r="T135" s="44"/>
    </row>
    <row r="136" spans="1:20" ht="39">
      <c r="A136" s="23"/>
      <c r="B136" s="34" t="s">
        <v>129</v>
      </c>
      <c r="C136" s="35" t="s">
        <v>309</v>
      </c>
      <c r="D136" s="36" t="s">
        <v>24</v>
      </c>
      <c r="E136" s="211" t="s">
        <v>205</v>
      </c>
      <c r="F136" s="231" t="s">
        <v>135</v>
      </c>
      <c r="G136" s="36" t="s">
        <v>316</v>
      </c>
      <c r="H136" s="35"/>
      <c r="I136" s="35" t="s">
        <v>132</v>
      </c>
      <c r="J136" s="35"/>
      <c r="K136" s="159">
        <v>3</v>
      </c>
      <c r="L136" s="159">
        <v>5</v>
      </c>
      <c r="M136" s="160">
        <v>1</v>
      </c>
      <c r="N136" s="191"/>
      <c r="O136" s="190">
        <f t="shared" si="58"/>
        <v>3</v>
      </c>
      <c r="P136" s="191"/>
      <c r="Q136" s="190">
        <f t="shared" si="59"/>
        <v>5</v>
      </c>
      <c r="R136" s="191"/>
      <c r="S136" s="190">
        <f t="shared" ref="S136" si="90">IF(AND(ISNUMBER(O136),ISNUMBER(Q136)),ROUND((O136+Q136)/2, 1),"")</f>
        <v>4</v>
      </c>
      <c r="T136" s="44"/>
    </row>
    <row r="137" spans="1:20" ht="52">
      <c r="A137" s="23"/>
      <c r="B137" s="34" t="s">
        <v>129</v>
      </c>
      <c r="C137" s="35" t="s">
        <v>309</v>
      </c>
      <c r="D137" s="36" t="s">
        <v>24</v>
      </c>
      <c r="E137" s="211" t="s">
        <v>34</v>
      </c>
      <c r="F137" s="231" t="s">
        <v>149</v>
      </c>
      <c r="G137" s="36" t="s">
        <v>317</v>
      </c>
      <c r="H137" s="35"/>
      <c r="I137" s="35" t="s">
        <v>132</v>
      </c>
      <c r="J137" s="35"/>
      <c r="K137" s="159">
        <v>4</v>
      </c>
      <c r="L137" s="159">
        <v>6</v>
      </c>
      <c r="M137" s="160">
        <v>1</v>
      </c>
      <c r="N137" s="191"/>
      <c r="O137" s="190">
        <f t="shared" si="58"/>
        <v>4</v>
      </c>
      <c r="P137" s="191"/>
      <c r="Q137" s="190">
        <f t="shared" si="59"/>
        <v>6</v>
      </c>
      <c r="R137" s="191"/>
      <c r="S137" s="190">
        <f t="shared" ref="S137" si="91">IF(AND(ISNUMBER(O137),ISNUMBER(Q137)),ROUND((O137+Q137)/2, 1),"")</f>
        <v>5</v>
      </c>
      <c r="T137" s="44"/>
    </row>
    <row r="138" spans="1:20" ht="26">
      <c r="A138" s="23"/>
      <c r="B138" s="34" t="s">
        <v>129</v>
      </c>
      <c r="C138" s="35" t="s">
        <v>309</v>
      </c>
      <c r="D138" s="36" t="s">
        <v>24</v>
      </c>
      <c r="E138" s="211" t="s">
        <v>209</v>
      </c>
      <c r="F138" s="231" t="s">
        <v>149</v>
      </c>
      <c r="G138" s="36" t="s">
        <v>318</v>
      </c>
      <c r="H138" s="35"/>
      <c r="I138" s="35" t="s">
        <v>132</v>
      </c>
      <c r="J138" s="35"/>
      <c r="K138" s="159">
        <v>4</v>
      </c>
      <c r="L138" s="159">
        <v>6</v>
      </c>
      <c r="M138" s="160">
        <v>2</v>
      </c>
      <c r="N138" s="191"/>
      <c r="O138" s="190">
        <f t="shared" si="58"/>
        <v>8</v>
      </c>
      <c r="P138" s="191"/>
      <c r="Q138" s="190">
        <f t="shared" si="59"/>
        <v>12</v>
      </c>
      <c r="R138" s="191"/>
      <c r="S138" s="190">
        <f t="shared" ref="S138" si="92">IF(AND(ISNUMBER(O138),ISNUMBER(Q138)),ROUND((O138+Q138)/2, 1),"")</f>
        <v>10</v>
      </c>
      <c r="T138" s="44" t="s">
        <v>319</v>
      </c>
    </row>
    <row r="139" spans="1:20" ht="26">
      <c r="A139" s="23"/>
      <c r="B139" s="34" t="s">
        <v>129</v>
      </c>
      <c r="C139" s="35" t="s">
        <v>309</v>
      </c>
      <c r="D139" s="36" t="s">
        <v>24</v>
      </c>
      <c r="E139" s="211" t="s">
        <v>224</v>
      </c>
      <c r="F139" s="231" t="s">
        <v>149</v>
      </c>
      <c r="G139" s="36" t="s">
        <v>225</v>
      </c>
      <c r="H139" s="35"/>
      <c r="I139" s="35" t="s">
        <v>132</v>
      </c>
      <c r="J139" s="35"/>
      <c r="K139" s="159">
        <v>3</v>
      </c>
      <c r="L139" s="159">
        <v>5</v>
      </c>
      <c r="M139" s="160">
        <v>1</v>
      </c>
      <c r="N139" s="191">
        <v>0.25</v>
      </c>
      <c r="O139" s="190">
        <f t="shared" si="58"/>
        <v>3</v>
      </c>
      <c r="P139" s="191">
        <v>0.5</v>
      </c>
      <c r="Q139" s="190">
        <f t="shared" si="59"/>
        <v>5</v>
      </c>
      <c r="R139" s="191"/>
      <c r="S139" s="190">
        <f>IF(AND(ISNUMBER(O139),ISNUMBER(Q139)),ROUND((O139+Q139)/2, 1),"")</f>
        <v>4</v>
      </c>
      <c r="T139" s="44"/>
    </row>
    <row r="140" spans="1:20" ht="26">
      <c r="A140" s="23"/>
      <c r="B140" s="34" t="s">
        <v>129</v>
      </c>
      <c r="C140" s="35" t="s">
        <v>309</v>
      </c>
      <c r="D140" s="36" t="s">
        <v>24</v>
      </c>
      <c r="E140" s="211" t="s">
        <v>227</v>
      </c>
      <c r="F140" s="231" t="s">
        <v>149</v>
      </c>
      <c r="G140" s="36" t="s">
        <v>225</v>
      </c>
      <c r="H140" s="35"/>
      <c r="I140" s="35" t="s">
        <v>132</v>
      </c>
      <c r="J140" s="35"/>
      <c r="K140" s="159">
        <v>3</v>
      </c>
      <c r="L140" s="159">
        <v>5</v>
      </c>
      <c r="M140" s="160">
        <v>1</v>
      </c>
      <c r="N140" s="191">
        <v>0.25</v>
      </c>
      <c r="O140" s="190">
        <f t="shared" si="58"/>
        <v>3</v>
      </c>
      <c r="P140" s="191">
        <v>0.5</v>
      </c>
      <c r="Q140" s="190">
        <f t="shared" ref="Q140" si="93">IF(AND($I140="In",ISNUMBER($L140)),$M140*$L140,"")</f>
        <v>5</v>
      </c>
      <c r="R140" s="191"/>
      <c r="S140" s="190">
        <f>IF(AND(ISNUMBER(O140),ISNUMBER(Q140)),ROUND((O140+Q140)/2, 1),"")</f>
        <v>4</v>
      </c>
      <c r="T140" s="44"/>
    </row>
    <row r="141" spans="1:20" ht="26">
      <c r="A141" s="23"/>
      <c r="B141" s="34" t="s">
        <v>129</v>
      </c>
      <c r="C141" s="35" t="s">
        <v>309</v>
      </c>
      <c r="D141" s="36" t="s">
        <v>24</v>
      </c>
      <c r="E141" s="211" t="s">
        <v>229</v>
      </c>
      <c r="F141" s="231" t="s">
        <v>149</v>
      </c>
      <c r="G141" s="36" t="s">
        <v>230</v>
      </c>
      <c r="H141" s="35"/>
      <c r="I141" s="35" t="s">
        <v>132</v>
      </c>
      <c r="J141" s="35"/>
      <c r="K141" s="159">
        <v>3</v>
      </c>
      <c r="L141" s="159">
        <v>5</v>
      </c>
      <c r="M141" s="160">
        <v>1</v>
      </c>
      <c r="N141" s="191">
        <v>0.25</v>
      </c>
      <c r="O141" s="190">
        <f t="shared" si="58"/>
        <v>3</v>
      </c>
      <c r="P141" s="191">
        <v>0.5</v>
      </c>
      <c r="Q141" s="190">
        <f t="shared" si="59"/>
        <v>5</v>
      </c>
      <c r="R141" s="191"/>
      <c r="S141" s="190">
        <f t="shared" ref="S141:S145" si="94">IF(AND(ISNUMBER(O141),ISNUMBER(Q141)),ROUND((O141+Q141)/2, 1),"")</f>
        <v>4</v>
      </c>
      <c r="T141" s="44"/>
    </row>
    <row r="142" spans="1:20" ht="26">
      <c r="A142" s="23"/>
      <c r="B142" s="34" t="s">
        <v>129</v>
      </c>
      <c r="C142" s="36" t="s">
        <v>30</v>
      </c>
      <c r="D142" s="36" t="s">
        <v>30</v>
      </c>
      <c r="E142" s="211" t="s">
        <v>231</v>
      </c>
      <c r="F142" s="231" t="s">
        <v>135</v>
      </c>
      <c r="G142" s="36"/>
      <c r="H142" s="35"/>
      <c r="I142" s="35" t="s">
        <v>132</v>
      </c>
      <c r="J142" s="35"/>
      <c r="K142" s="159">
        <v>7</v>
      </c>
      <c r="L142" s="159">
        <v>9</v>
      </c>
      <c r="M142" s="160">
        <v>1</v>
      </c>
      <c r="N142" s="191">
        <v>0.25</v>
      </c>
      <c r="O142" s="190">
        <f t="shared" si="58"/>
        <v>7</v>
      </c>
      <c r="P142" s="191">
        <v>0.5</v>
      </c>
      <c r="Q142" s="190">
        <f t="shared" si="59"/>
        <v>9</v>
      </c>
      <c r="R142" s="191"/>
      <c r="S142" s="190">
        <f t="shared" si="94"/>
        <v>8</v>
      </c>
      <c r="T142" s="44"/>
    </row>
    <row r="143" spans="1:20" ht="26">
      <c r="A143" s="23"/>
      <c r="B143" s="34" t="s">
        <v>129</v>
      </c>
      <c r="C143" s="36" t="s">
        <v>30</v>
      </c>
      <c r="D143" s="36" t="s">
        <v>30</v>
      </c>
      <c r="E143" s="211" t="s">
        <v>232</v>
      </c>
      <c r="F143" s="231" t="s">
        <v>135</v>
      </c>
      <c r="G143" s="36"/>
      <c r="H143" s="35"/>
      <c r="I143" s="35" t="s">
        <v>132</v>
      </c>
      <c r="J143" s="35"/>
      <c r="K143" s="159">
        <v>2</v>
      </c>
      <c r="L143" s="159">
        <v>3</v>
      </c>
      <c r="M143" s="160">
        <v>1</v>
      </c>
      <c r="N143" s="191">
        <v>0.25</v>
      </c>
      <c r="O143" s="190">
        <f t="shared" si="58"/>
        <v>2</v>
      </c>
      <c r="P143" s="191">
        <v>0.5</v>
      </c>
      <c r="Q143" s="190">
        <f t="shared" si="59"/>
        <v>3</v>
      </c>
      <c r="R143" s="191"/>
      <c r="S143" s="190">
        <f t="shared" si="94"/>
        <v>2.5</v>
      </c>
      <c r="T143" s="44"/>
    </row>
    <row r="144" spans="1:20" ht="26">
      <c r="A144" s="23"/>
      <c r="B144" s="34" t="s">
        <v>129</v>
      </c>
      <c r="C144" s="36" t="s">
        <v>30</v>
      </c>
      <c r="D144" s="36" t="s">
        <v>30</v>
      </c>
      <c r="E144" s="211" t="s">
        <v>233</v>
      </c>
      <c r="F144" s="231" t="s">
        <v>149</v>
      </c>
      <c r="G144" s="36" t="s">
        <v>234</v>
      </c>
      <c r="H144" s="35"/>
      <c r="I144" s="35" t="s">
        <v>132</v>
      </c>
      <c r="J144" s="35"/>
      <c r="K144" s="159">
        <v>5</v>
      </c>
      <c r="L144" s="159">
        <v>7</v>
      </c>
      <c r="M144" s="160">
        <v>1</v>
      </c>
      <c r="N144" s="191">
        <v>0.25</v>
      </c>
      <c r="O144" s="190">
        <f t="shared" si="58"/>
        <v>5</v>
      </c>
      <c r="P144" s="191">
        <v>0.5</v>
      </c>
      <c r="Q144" s="190">
        <f t="shared" si="59"/>
        <v>7</v>
      </c>
      <c r="R144" s="191"/>
      <c r="S144" s="190">
        <f t="shared" si="94"/>
        <v>6</v>
      </c>
      <c r="T144" s="44"/>
    </row>
    <row r="145" spans="1:20" ht="26">
      <c r="A145" s="23"/>
      <c r="B145" s="34" t="s">
        <v>129</v>
      </c>
      <c r="C145" s="35" t="s">
        <v>309</v>
      </c>
      <c r="D145" s="36" t="s">
        <v>24</v>
      </c>
      <c r="E145" s="211" t="s">
        <v>320</v>
      </c>
      <c r="F145" s="231" t="s">
        <v>149</v>
      </c>
      <c r="G145" s="36"/>
      <c r="H145" s="35"/>
      <c r="I145" s="35" t="s">
        <v>132</v>
      </c>
      <c r="J145" s="35"/>
      <c r="K145" s="159">
        <v>8</v>
      </c>
      <c r="L145" s="159">
        <v>10</v>
      </c>
      <c r="M145" s="160">
        <v>1</v>
      </c>
      <c r="N145" s="191">
        <v>0.25</v>
      </c>
      <c r="O145" s="190">
        <f t="shared" si="58"/>
        <v>8</v>
      </c>
      <c r="P145" s="191">
        <v>0.5</v>
      </c>
      <c r="Q145" s="190">
        <f t="shared" si="59"/>
        <v>10</v>
      </c>
      <c r="R145" s="191"/>
      <c r="S145" s="190">
        <f t="shared" si="94"/>
        <v>9</v>
      </c>
      <c r="T145" s="44"/>
    </row>
    <row r="146" spans="1:20">
      <c r="A146" s="303"/>
      <c r="B146" s="34" t="s">
        <v>129</v>
      </c>
      <c r="C146" s="35" t="s">
        <v>27</v>
      </c>
      <c r="D146" s="36" t="s">
        <v>24</v>
      </c>
      <c r="E146" s="36" t="s">
        <v>321</v>
      </c>
      <c r="F146" s="231" t="s">
        <v>135</v>
      </c>
      <c r="G146" s="36" t="s">
        <v>322</v>
      </c>
      <c r="H146" s="35"/>
      <c r="I146" s="35" t="s">
        <v>132</v>
      </c>
      <c r="J146" s="35"/>
      <c r="K146" s="159">
        <v>6</v>
      </c>
      <c r="L146" s="159">
        <v>8</v>
      </c>
      <c r="M146" s="160">
        <v>2</v>
      </c>
      <c r="N146" s="191"/>
      <c r="O146" s="190">
        <f t="shared" si="58"/>
        <v>12</v>
      </c>
      <c r="P146" s="191"/>
      <c r="Q146" s="190">
        <f t="shared" si="59"/>
        <v>16</v>
      </c>
      <c r="R146" s="191"/>
      <c r="S146" s="190">
        <f>IF(AND(ISNUMBER(O146),ISNUMBER(Q146)),ROUND((O146+Q146)/2, 1),"")</f>
        <v>14</v>
      </c>
      <c r="T146" s="44"/>
    </row>
    <row r="147" spans="1:20">
      <c r="A147" s="303"/>
      <c r="B147" s="34" t="s">
        <v>129</v>
      </c>
      <c r="C147" s="35" t="s">
        <v>27</v>
      </c>
      <c r="D147" s="36" t="s">
        <v>24</v>
      </c>
      <c r="E147" s="36" t="s">
        <v>323</v>
      </c>
      <c r="F147" s="231" t="s">
        <v>135</v>
      </c>
      <c r="G147" s="36"/>
      <c r="H147" s="35"/>
      <c r="I147" s="35" t="s">
        <v>132</v>
      </c>
      <c r="J147" s="35"/>
      <c r="K147" s="159">
        <v>0.5</v>
      </c>
      <c r="L147" s="159">
        <v>1</v>
      </c>
      <c r="M147" s="160">
        <v>6</v>
      </c>
      <c r="N147" s="191">
        <v>0.5</v>
      </c>
      <c r="O147" s="190">
        <f t="shared" si="58"/>
        <v>3</v>
      </c>
      <c r="P147" s="191">
        <v>1</v>
      </c>
      <c r="Q147" s="190">
        <f t="shared" si="59"/>
        <v>6</v>
      </c>
      <c r="R147" s="191"/>
      <c r="S147" s="190">
        <f t="shared" ref="S147:S149" si="95">IF(AND(ISNUMBER(O147),ISNUMBER(Q147)),ROUND((O147+Q147)/2, 1),"")</f>
        <v>4.5</v>
      </c>
      <c r="T147" s="44" t="s">
        <v>324</v>
      </c>
    </row>
    <row r="148" spans="1:20" ht="26">
      <c r="A148" s="303"/>
      <c r="B148" s="34" t="s">
        <v>129</v>
      </c>
      <c r="C148" s="35" t="s">
        <v>27</v>
      </c>
      <c r="D148" s="36" t="s">
        <v>24</v>
      </c>
      <c r="E148" s="36" t="s">
        <v>325</v>
      </c>
      <c r="F148" s="231" t="s">
        <v>135</v>
      </c>
      <c r="G148" s="36" t="s">
        <v>326</v>
      </c>
      <c r="H148" s="35"/>
      <c r="I148" s="35" t="s">
        <v>137</v>
      </c>
      <c r="J148" s="35"/>
      <c r="K148" s="159">
        <v>3</v>
      </c>
      <c r="L148" s="159">
        <v>5</v>
      </c>
      <c r="M148" s="160">
        <v>1</v>
      </c>
      <c r="N148" s="191">
        <v>1.25</v>
      </c>
      <c r="O148" s="190" t="str">
        <f t="shared" si="58"/>
        <v/>
      </c>
      <c r="P148" s="191">
        <v>2.25</v>
      </c>
      <c r="Q148" s="190" t="str">
        <f t="shared" si="59"/>
        <v/>
      </c>
      <c r="R148" s="191"/>
      <c r="S148" s="190" t="str">
        <f t="shared" si="95"/>
        <v/>
      </c>
      <c r="T148" s="44" t="s">
        <v>327</v>
      </c>
    </row>
    <row r="149" spans="1:20" ht="26">
      <c r="A149" s="303"/>
      <c r="B149" s="34" t="s">
        <v>129</v>
      </c>
      <c r="C149" s="35" t="s">
        <v>27</v>
      </c>
      <c r="D149" s="36" t="s">
        <v>24</v>
      </c>
      <c r="E149" s="36" t="s">
        <v>328</v>
      </c>
      <c r="F149" s="231" t="s">
        <v>135</v>
      </c>
      <c r="G149" s="36" t="s">
        <v>329</v>
      </c>
      <c r="H149" s="35"/>
      <c r="I149" s="35" t="s">
        <v>132</v>
      </c>
      <c r="J149" s="35"/>
      <c r="K149" s="159">
        <v>3</v>
      </c>
      <c r="L149" s="159">
        <v>5</v>
      </c>
      <c r="M149" s="160">
        <v>1</v>
      </c>
      <c r="N149" s="191">
        <v>1.25</v>
      </c>
      <c r="O149" s="190">
        <f t="shared" si="58"/>
        <v>3</v>
      </c>
      <c r="P149" s="191">
        <v>2.25</v>
      </c>
      <c r="Q149" s="190">
        <f t="shared" si="59"/>
        <v>5</v>
      </c>
      <c r="R149" s="191"/>
      <c r="S149" s="190">
        <f t="shared" si="95"/>
        <v>4</v>
      </c>
      <c r="T149" s="44"/>
    </row>
    <row r="150" spans="1:20" ht="26">
      <c r="A150" s="303"/>
      <c r="B150" s="34"/>
      <c r="C150" s="35" t="s">
        <v>309</v>
      </c>
      <c r="D150" s="36" t="s">
        <v>24</v>
      </c>
      <c r="E150" s="36" t="s">
        <v>184</v>
      </c>
      <c r="F150" s="231" t="s">
        <v>149</v>
      </c>
      <c r="G150" s="36"/>
      <c r="H150" s="35"/>
      <c r="I150" s="35" t="s">
        <v>132</v>
      </c>
      <c r="J150" s="35"/>
      <c r="K150" s="159">
        <v>7</v>
      </c>
      <c r="L150" s="159">
        <v>10</v>
      </c>
      <c r="M150" s="160">
        <v>1</v>
      </c>
      <c r="N150" s="191"/>
      <c r="O150" s="190">
        <f t="shared" si="58"/>
        <v>7</v>
      </c>
      <c r="P150" s="191"/>
      <c r="Q150" s="190">
        <f t="shared" si="59"/>
        <v>10</v>
      </c>
      <c r="R150" s="191"/>
      <c r="S150" s="190">
        <f>IF(AND(ISNUMBER(O150),ISNUMBER(Q150)),ROUND((O150+Q150)/2, 1),"")</f>
        <v>8.5</v>
      </c>
      <c r="T150" s="44"/>
    </row>
    <row r="151" spans="1:20" ht="26">
      <c r="A151" s="303"/>
      <c r="B151" s="34" t="s">
        <v>330</v>
      </c>
      <c r="C151" s="35" t="s">
        <v>309</v>
      </c>
      <c r="D151" s="36" t="s">
        <v>24</v>
      </c>
      <c r="E151" s="36" t="s">
        <v>331</v>
      </c>
      <c r="F151" s="231" t="s">
        <v>149</v>
      </c>
      <c r="G151" s="36" t="s">
        <v>332</v>
      </c>
      <c r="H151" s="35" t="s">
        <v>333</v>
      </c>
      <c r="I151" s="35" t="s">
        <v>132</v>
      </c>
      <c r="J151" s="35"/>
      <c r="K151" s="159">
        <v>5</v>
      </c>
      <c r="L151" s="159">
        <v>8</v>
      </c>
      <c r="M151" s="160">
        <v>1</v>
      </c>
      <c r="N151" s="191"/>
      <c r="O151" s="190">
        <f t="shared" si="58"/>
        <v>5</v>
      </c>
      <c r="P151" s="191"/>
      <c r="Q151" s="190">
        <f t="shared" si="59"/>
        <v>8</v>
      </c>
      <c r="R151" s="191"/>
      <c r="S151" s="190">
        <f t="shared" ref="S151:S210" si="96">IF(AND(ISNUMBER(O151),ISNUMBER(Q151)),ROUND((O151+Q151)/2, 1),"")</f>
        <v>6.5</v>
      </c>
      <c r="T151" s="44"/>
    </row>
    <row r="152" spans="1:20" ht="26">
      <c r="A152" s="303"/>
      <c r="B152" s="34" t="s">
        <v>330</v>
      </c>
      <c r="C152" s="35" t="s">
        <v>309</v>
      </c>
      <c r="D152" s="36" t="s">
        <v>24</v>
      </c>
      <c r="E152" s="36" t="s">
        <v>334</v>
      </c>
      <c r="F152" s="231" t="s">
        <v>149</v>
      </c>
      <c r="G152" s="36"/>
      <c r="H152" s="35" t="s">
        <v>333</v>
      </c>
      <c r="I152" s="35" t="s">
        <v>132</v>
      </c>
      <c r="J152" s="35"/>
      <c r="K152" s="159">
        <v>3</v>
      </c>
      <c r="L152" s="159">
        <v>5</v>
      </c>
      <c r="M152" s="160">
        <v>1</v>
      </c>
      <c r="N152" s="191"/>
      <c r="O152" s="190">
        <f t="shared" ref="O152" si="97">IF(AND($I152="In",ISNUMBER($K152)),$M152*$K152,"")</f>
        <v>3</v>
      </c>
      <c r="P152" s="191"/>
      <c r="Q152" s="190">
        <f t="shared" ref="Q152" si="98">IF(AND($I152="In",ISNUMBER($L152)),$M152*$L152,"")</f>
        <v>5</v>
      </c>
      <c r="R152" s="191"/>
      <c r="S152" s="190">
        <f t="shared" ref="S152" si="99">IF(AND(ISNUMBER(O152),ISNUMBER(Q152)),ROUND((O152+Q152)/2, 1),"")</f>
        <v>4</v>
      </c>
      <c r="T152" s="44"/>
    </row>
    <row r="153" spans="1:20" ht="52">
      <c r="A153" s="303"/>
      <c r="B153" s="34"/>
      <c r="C153" s="35" t="s">
        <v>309</v>
      </c>
      <c r="D153" s="36" t="s">
        <v>24</v>
      </c>
      <c r="E153" s="36" t="s">
        <v>335</v>
      </c>
      <c r="F153" s="231" t="s">
        <v>149</v>
      </c>
      <c r="G153" s="36" t="s">
        <v>336</v>
      </c>
      <c r="H153" s="35"/>
      <c r="I153" s="35" t="s">
        <v>132</v>
      </c>
      <c r="J153" s="35"/>
      <c r="K153" s="159">
        <v>12</v>
      </c>
      <c r="L153" s="159">
        <v>17</v>
      </c>
      <c r="M153" s="160">
        <v>1</v>
      </c>
      <c r="N153" s="191"/>
      <c r="O153" s="190">
        <f t="shared" si="58"/>
        <v>12</v>
      </c>
      <c r="P153" s="191"/>
      <c r="Q153" s="190">
        <f t="shared" si="59"/>
        <v>17</v>
      </c>
      <c r="R153" s="191"/>
      <c r="S153" s="190">
        <f t="shared" si="96"/>
        <v>14.5</v>
      </c>
      <c r="T153" s="44"/>
    </row>
    <row r="154" spans="1:20" ht="39">
      <c r="A154" s="303"/>
      <c r="B154" s="34"/>
      <c r="C154" s="35" t="s">
        <v>309</v>
      </c>
      <c r="D154" s="36" t="s">
        <v>24</v>
      </c>
      <c r="E154" s="36" t="s">
        <v>212</v>
      </c>
      <c r="F154" s="231" t="s">
        <v>149</v>
      </c>
      <c r="G154" s="36" t="s">
        <v>337</v>
      </c>
      <c r="H154" s="35"/>
      <c r="I154" s="35" t="s">
        <v>132</v>
      </c>
      <c r="J154" s="35"/>
      <c r="K154" s="159">
        <v>7</v>
      </c>
      <c r="L154" s="159">
        <v>12</v>
      </c>
      <c r="M154" s="160">
        <v>1</v>
      </c>
      <c r="N154" s="191"/>
      <c r="O154" s="190">
        <f t="shared" si="58"/>
        <v>7</v>
      </c>
      <c r="P154" s="191"/>
      <c r="Q154" s="190">
        <f t="shared" si="59"/>
        <v>12</v>
      </c>
      <c r="R154" s="191"/>
      <c r="S154" s="190">
        <f t="shared" si="96"/>
        <v>9.5</v>
      </c>
      <c r="T154" s="44"/>
    </row>
    <row r="155" spans="1:20" ht="39">
      <c r="A155" s="303"/>
      <c r="B155" s="34"/>
      <c r="C155" s="35" t="s">
        <v>309</v>
      </c>
      <c r="D155" s="36" t="s">
        <v>24</v>
      </c>
      <c r="E155" s="36" t="s">
        <v>338</v>
      </c>
      <c r="F155" s="231" t="s">
        <v>149</v>
      </c>
      <c r="G155" s="36" t="s">
        <v>339</v>
      </c>
      <c r="H155" s="35"/>
      <c r="I155" s="35" t="s">
        <v>132</v>
      </c>
      <c r="J155" s="35"/>
      <c r="K155" s="159">
        <v>3</v>
      </c>
      <c r="L155" s="159">
        <v>5</v>
      </c>
      <c r="M155" s="160">
        <v>1</v>
      </c>
      <c r="N155" s="191"/>
      <c r="O155" s="190">
        <f t="shared" ref="O155" si="100">IF(AND($I155="In",ISNUMBER($K155)),$M155*$K155,"")</f>
        <v>3</v>
      </c>
      <c r="P155" s="191"/>
      <c r="Q155" s="190">
        <f t="shared" ref="Q155" si="101">IF(AND($I155="In",ISNUMBER($L155)),$M155*$L155,"")</f>
        <v>5</v>
      </c>
      <c r="R155" s="191"/>
      <c r="S155" s="190">
        <f t="shared" ref="S155" si="102">IF(AND(ISNUMBER(O155),ISNUMBER(Q155)),ROUND((O155+Q155)/2, 1),"")</f>
        <v>4</v>
      </c>
      <c r="T155" s="44"/>
    </row>
    <row r="156" spans="1:20" ht="26">
      <c r="A156" s="303"/>
      <c r="B156" s="34"/>
      <c r="C156" s="35" t="s">
        <v>309</v>
      </c>
      <c r="D156" s="36" t="s">
        <v>24</v>
      </c>
      <c r="E156" s="36" t="s">
        <v>214</v>
      </c>
      <c r="F156" s="231" t="s">
        <v>149</v>
      </c>
      <c r="G156" s="36" t="s">
        <v>340</v>
      </c>
      <c r="H156" s="35"/>
      <c r="I156" s="35" t="s">
        <v>132</v>
      </c>
      <c r="J156" s="35"/>
      <c r="K156" s="159">
        <v>5</v>
      </c>
      <c r="L156" s="159">
        <v>8</v>
      </c>
      <c r="M156" s="160">
        <v>1</v>
      </c>
      <c r="N156" s="191"/>
      <c r="O156" s="190">
        <f t="shared" si="58"/>
        <v>5</v>
      </c>
      <c r="P156" s="191"/>
      <c r="Q156" s="190">
        <f t="shared" si="59"/>
        <v>8</v>
      </c>
      <c r="R156" s="191"/>
      <c r="S156" s="190">
        <f t="shared" si="96"/>
        <v>6.5</v>
      </c>
      <c r="T156" s="44"/>
    </row>
    <row r="157" spans="1:20" ht="39">
      <c r="A157" s="303"/>
      <c r="B157" s="34"/>
      <c r="C157" s="35" t="s">
        <v>309</v>
      </c>
      <c r="D157" s="36" t="s">
        <v>24</v>
      </c>
      <c r="E157" s="257" t="s">
        <v>341</v>
      </c>
      <c r="F157" s="231" t="s">
        <v>149</v>
      </c>
      <c r="G157" s="36" t="s">
        <v>342</v>
      </c>
      <c r="H157" s="258" t="s">
        <v>343</v>
      </c>
      <c r="I157" s="35" t="s">
        <v>132</v>
      </c>
      <c r="J157" s="35"/>
      <c r="K157" s="159">
        <v>6</v>
      </c>
      <c r="L157" s="159">
        <v>8</v>
      </c>
      <c r="M157" s="160">
        <v>1</v>
      </c>
      <c r="N157" s="191"/>
      <c r="O157" s="190">
        <f t="shared" si="58"/>
        <v>6</v>
      </c>
      <c r="P157" s="191"/>
      <c r="Q157" s="190">
        <f t="shared" si="59"/>
        <v>8</v>
      </c>
      <c r="R157" s="191"/>
      <c r="S157" s="190">
        <f t="shared" si="96"/>
        <v>7</v>
      </c>
      <c r="T157" s="44"/>
    </row>
    <row r="158" spans="1:20" ht="26">
      <c r="A158" s="303"/>
      <c r="B158" s="34"/>
      <c r="C158" s="35" t="s">
        <v>309</v>
      </c>
      <c r="D158" s="36" t="s">
        <v>24</v>
      </c>
      <c r="E158" s="257" t="s">
        <v>344</v>
      </c>
      <c r="F158" s="231" t="s">
        <v>149</v>
      </c>
      <c r="G158" s="36"/>
      <c r="H158" s="258" t="s">
        <v>343</v>
      </c>
      <c r="I158" s="35" t="s">
        <v>132</v>
      </c>
      <c r="J158" s="35"/>
      <c r="K158" s="159">
        <v>3</v>
      </c>
      <c r="L158" s="159">
        <v>5</v>
      </c>
      <c r="M158" s="160">
        <v>1</v>
      </c>
      <c r="N158" s="191"/>
      <c r="O158" s="190">
        <f t="shared" ref="O158" si="103">IF(AND($I158="In",ISNUMBER($K158)),$M158*$K158,"")</f>
        <v>3</v>
      </c>
      <c r="P158" s="191"/>
      <c r="Q158" s="190">
        <f t="shared" ref="Q158" si="104">IF(AND($I158="In",ISNUMBER($L158)),$M158*$L158,"")</f>
        <v>5</v>
      </c>
      <c r="R158" s="191"/>
      <c r="S158" s="190">
        <f t="shared" ref="S158" si="105">IF(AND(ISNUMBER(O158),ISNUMBER(Q158)),ROUND((O158+Q158)/2, 1),"")</f>
        <v>4</v>
      </c>
      <c r="T158" s="44"/>
    </row>
    <row r="159" spans="1:20" ht="15" customHeight="1">
      <c r="A159" s="303"/>
      <c r="B159" s="34"/>
      <c r="C159" s="35" t="s">
        <v>309</v>
      </c>
      <c r="D159" s="36" t="s">
        <v>24</v>
      </c>
      <c r="E159" s="257" t="s">
        <v>345</v>
      </c>
      <c r="F159" s="231" t="s">
        <v>149</v>
      </c>
      <c r="G159" s="36"/>
      <c r="H159" s="258" t="s">
        <v>346</v>
      </c>
      <c r="I159" s="35" t="s">
        <v>132</v>
      </c>
      <c r="J159" s="35"/>
      <c r="K159" s="159">
        <v>3</v>
      </c>
      <c r="L159" s="159">
        <v>5</v>
      </c>
      <c r="M159" s="160">
        <v>1</v>
      </c>
      <c r="N159" s="191"/>
      <c r="O159" s="190">
        <f t="shared" si="58"/>
        <v>3</v>
      </c>
      <c r="P159" s="191"/>
      <c r="Q159" s="190">
        <f t="shared" si="59"/>
        <v>5</v>
      </c>
      <c r="R159" s="191"/>
      <c r="S159" s="190">
        <f t="shared" si="96"/>
        <v>4</v>
      </c>
      <c r="T159" s="44"/>
    </row>
    <row r="160" spans="1:20" ht="15" customHeight="1">
      <c r="A160" s="303"/>
      <c r="B160" s="34"/>
      <c r="C160" s="35" t="s">
        <v>309</v>
      </c>
      <c r="D160" s="36" t="s">
        <v>24</v>
      </c>
      <c r="E160" s="257" t="s">
        <v>347</v>
      </c>
      <c r="F160" s="231" t="s">
        <v>149</v>
      </c>
      <c r="G160" s="36"/>
      <c r="H160" s="258" t="s">
        <v>346</v>
      </c>
      <c r="I160" s="35" t="s">
        <v>132</v>
      </c>
      <c r="J160" s="35"/>
      <c r="K160" s="159">
        <v>2</v>
      </c>
      <c r="L160" s="159">
        <v>3</v>
      </c>
      <c r="M160" s="160">
        <v>1</v>
      </c>
      <c r="N160" s="191"/>
      <c r="O160" s="190">
        <f t="shared" ref="O160:O161" si="106">IF(AND($I160="In",ISNUMBER($K160)),$M160*$K160,"")</f>
        <v>2</v>
      </c>
      <c r="P160" s="191"/>
      <c r="Q160" s="190">
        <f t="shared" ref="Q160:Q161" si="107">IF(AND($I160="In",ISNUMBER($L160)),$M160*$L160,"")</f>
        <v>3</v>
      </c>
      <c r="R160" s="191"/>
      <c r="S160" s="190">
        <f t="shared" ref="S160" si="108">IF(AND(ISNUMBER(O160),ISNUMBER(Q160)),ROUND((O160+Q160)/2, 1),"")</f>
        <v>2.5</v>
      </c>
      <c r="T160" s="44"/>
    </row>
    <row r="161" spans="1:20" ht="15" customHeight="1">
      <c r="A161" s="303"/>
      <c r="B161" s="34"/>
      <c r="C161" s="35" t="s">
        <v>309</v>
      </c>
      <c r="D161" s="36" t="s">
        <v>24</v>
      </c>
      <c r="E161" s="257" t="s">
        <v>348</v>
      </c>
      <c r="F161" s="231" t="s">
        <v>149</v>
      </c>
      <c r="G161" s="36"/>
      <c r="H161" s="258" t="s">
        <v>346</v>
      </c>
      <c r="I161" s="35" t="s">
        <v>132</v>
      </c>
      <c r="J161" s="35"/>
      <c r="K161" s="159">
        <v>4</v>
      </c>
      <c r="L161" s="159">
        <v>6</v>
      </c>
      <c r="M161" s="160">
        <v>1</v>
      </c>
      <c r="N161" s="191"/>
      <c r="O161" s="190">
        <f t="shared" si="106"/>
        <v>4</v>
      </c>
      <c r="P161" s="191"/>
      <c r="Q161" s="190">
        <f t="shared" si="107"/>
        <v>6</v>
      </c>
      <c r="R161" s="191"/>
      <c r="S161" s="190">
        <f t="shared" ref="S161" si="109">IF(AND(ISNUMBER(O161),ISNUMBER(Q161)),ROUND((O161+Q161)/2, 1),"")</f>
        <v>5</v>
      </c>
      <c r="T161" s="44"/>
    </row>
    <row r="162" spans="1:20" ht="26">
      <c r="A162" s="303"/>
      <c r="B162" s="34"/>
      <c r="C162" s="35" t="s">
        <v>309</v>
      </c>
      <c r="D162" s="36" t="s">
        <v>24</v>
      </c>
      <c r="E162" s="257" t="s">
        <v>349</v>
      </c>
      <c r="F162" s="231" t="s">
        <v>149</v>
      </c>
      <c r="G162" s="36"/>
      <c r="H162" s="258" t="s">
        <v>350</v>
      </c>
      <c r="I162" s="35" t="s">
        <v>132</v>
      </c>
      <c r="J162" s="35"/>
      <c r="K162" s="159">
        <v>3</v>
      </c>
      <c r="L162" s="159">
        <v>5</v>
      </c>
      <c r="M162" s="160">
        <v>1</v>
      </c>
      <c r="N162" s="191"/>
      <c r="O162" s="190">
        <f t="shared" si="58"/>
        <v>3</v>
      </c>
      <c r="P162" s="191"/>
      <c r="Q162" s="190">
        <f t="shared" si="59"/>
        <v>5</v>
      </c>
      <c r="R162" s="191"/>
      <c r="S162" s="190">
        <f t="shared" si="96"/>
        <v>4</v>
      </c>
      <c r="T162" s="44"/>
    </row>
    <row r="163" spans="1:20" ht="26">
      <c r="A163" s="303"/>
      <c r="B163" s="34"/>
      <c r="C163" s="35" t="s">
        <v>309</v>
      </c>
      <c r="D163" s="36" t="s">
        <v>24</v>
      </c>
      <c r="E163" s="257" t="s">
        <v>351</v>
      </c>
      <c r="F163" s="231" t="s">
        <v>149</v>
      </c>
      <c r="G163" s="36"/>
      <c r="H163" s="258" t="s">
        <v>352</v>
      </c>
      <c r="I163" s="35" t="s">
        <v>132</v>
      </c>
      <c r="J163" s="35"/>
      <c r="K163" s="159">
        <v>2</v>
      </c>
      <c r="L163" s="159">
        <v>3</v>
      </c>
      <c r="M163" s="160">
        <v>1</v>
      </c>
      <c r="N163" s="191"/>
      <c r="O163" s="190">
        <f t="shared" ref="O163" si="110">IF(AND($I163="In",ISNUMBER($K163)),$M163*$K163,"")</f>
        <v>2</v>
      </c>
      <c r="P163" s="191"/>
      <c r="Q163" s="190">
        <f t="shared" ref="Q163:Q164" si="111">IF(AND($I163="In",ISNUMBER($L163)),$M163*$L163,"")</f>
        <v>3</v>
      </c>
      <c r="R163" s="191"/>
      <c r="S163" s="190">
        <f t="shared" ref="S163" si="112">IF(AND(ISNUMBER(O163),ISNUMBER(Q163)),ROUND((O163+Q163)/2, 1),"")</f>
        <v>2.5</v>
      </c>
      <c r="T163" s="44"/>
    </row>
    <row r="164" spans="1:20" ht="26">
      <c r="A164" s="303"/>
      <c r="B164" s="34"/>
      <c r="C164" s="35" t="s">
        <v>309</v>
      </c>
      <c r="D164" s="36" t="s">
        <v>24</v>
      </c>
      <c r="E164" s="257" t="s">
        <v>353</v>
      </c>
      <c r="F164" s="231" t="s">
        <v>149</v>
      </c>
      <c r="G164" s="36"/>
      <c r="H164" s="258" t="s">
        <v>354</v>
      </c>
      <c r="I164" s="35" t="s">
        <v>132</v>
      </c>
      <c r="J164" s="35"/>
      <c r="K164" s="159">
        <v>4</v>
      </c>
      <c r="L164" s="159">
        <v>6</v>
      </c>
      <c r="M164" s="160">
        <v>1</v>
      </c>
      <c r="N164" s="191"/>
      <c r="O164" s="190">
        <f t="shared" si="58"/>
        <v>4</v>
      </c>
      <c r="P164" s="191"/>
      <c r="Q164" s="190">
        <f t="shared" si="111"/>
        <v>6</v>
      </c>
      <c r="R164" s="191"/>
      <c r="S164" s="190">
        <f t="shared" si="96"/>
        <v>5</v>
      </c>
      <c r="T164" s="44"/>
    </row>
    <row r="165" spans="1:20" ht="26">
      <c r="A165" s="303"/>
      <c r="B165" s="34" t="s">
        <v>330</v>
      </c>
      <c r="C165" s="35" t="s">
        <v>309</v>
      </c>
      <c r="D165" s="36" t="s">
        <v>24</v>
      </c>
      <c r="E165" s="36" t="s">
        <v>355</v>
      </c>
      <c r="F165" s="231" t="s">
        <v>149</v>
      </c>
      <c r="G165" s="36"/>
      <c r="H165" s="35"/>
      <c r="I165" s="35" t="s">
        <v>132</v>
      </c>
      <c r="J165" s="35"/>
      <c r="K165" s="233">
        <v>5</v>
      </c>
      <c r="L165" s="233">
        <v>7</v>
      </c>
      <c r="M165" s="160">
        <v>1</v>
      </c>
      <c r="N165" s="191"/>
      <c r="O165" s="190">
        <f t="shared" ref="O165" si="113">IF(AND($I165="In",ISNUMBER($K165)),$M165*$K165,"")</f>
        <v>5</v>
      </c>
      <c r="P165" s="191"/>
      <c r="Q165" s="190">
        <f>IF(AND($I165="In",ISNUMBER($L165)),$M165*$L165,"")</f>
        <v>7</v>
      </c>
      <c r="R165" s="191"/>
      <c r="S165" s="190">
        <f t="shared" ref="S165" si="114">IF(AND(ISNUMBER(O165),ISNUMBER(Q165)),ROUND((O165+Q165)/2, 1),"")</f>
        <v>6</v>
      </c>
      <c r="T165" s="44"/>
    </row>
    <row r="166" spans="1:20" ht="26">
      <c r="A166" s="303"/>
      <c r="B166" s="34" t="s">
        <v>330</v>
      </c>
      <c r="C166" s="35" t="s">
        <v>309</v>
      </c>
      <c r="D166" s="36" t="s">
        <v>24</v>
      </c>
      <c r="E166" s="36" t="s">
        <v>356</v>
      </c>
      <c r="F166" s="231" t="s">
        <v>149</v>
      </c>
      <c r="G166" s="36" t="s">
        <v>357</v>
      </c>
      <c r="H166" s="35"/>
      <c r="I166" s="35" t="s">
        <v>132</v>
      </c>
      <c r="J166" s="35"/>
      <c r="K166" s="159">
        <v>8</v>
      </c>
      <c r="L166" s="159">
        <v>12</v>
      </c>
      <c r="M166" s="160">
        <v>1</v>
      </c>
      <c r="N166" s="191"/>
      <c r="O166" s="190">
        <f t="shared" si="58"/>
        <v>8</v>
      </c>
      <c r="P166" s="191"/>
      <c r="Q166" s="190">
        <f>IF(AND($I166="In",ISNUMBER($L166)),$M166*$L166,"")</f>
        <v>12</v>
      </c>
      <c r="R166" s="191"/>
      <c r="S166" s="190">
        <f t="shared" si="96"/>
        <v>10</v>
      </c>
      <c r="T166" s="44"/>
    </row>
    <row r="167" spans="1:20" ht="26">
      <c r="A167" s="303"/>
      <c r="B167" s="34" t="s">
        <v>330</v>
      </c>
      <c r="C167" s="35" t="s">
        <v>309</v>
      </c>
      <c r="D167" s="36" t="s">
        <v>24</v>
      </c>
      <c r="E167" s="36" t="s">
        <v>358</v>
      </c>
      <c r="F167" s="231" t="s">
        <v>149</v>
      </c>
      <c r="G167" s="36" t="s">
        <v>359</v>
      </c>
      <c r="H167" s="35"/>
      <c r="I167" s="35" t="s">
        <v>132</v>
      </c>
      <c r="J167" s="35"/>
      <c r="K167" s="159">
        <v>2</v>
      </c>
      <c r="L167" s="159">
        <v>3</v>
      </c>
      <c r="M167" s="160">
        <v>15</v>
      </c>
      <c r="N167" s="191"/>
      <c r="O167" s="190">
        <f t="shared" ref="O167" si="115">IF(AND($I167="In",ISNUMBER($K167)),$M167*$K167,"")</f>
        <v>30</v>
      </c>
      <c r="P167" s="191"/>
      <c r="Q167" s="190">
        <f>IF(AND($I167="In",ISNUMBER($L167)),$M167*$L167,"")</f>
        <v>45</v>
      </c>
      <c r="R167" s="191"/>
      <c r="S167" s="190">
        <f t="shared" ref="S167" si="116">IF(AND(ISNUMBER(O167),ISNUMBER(Q167)),ROUND((O167+Q167)/2, 1),"")</f>
        <v>37.5</v>
      </c>
      <c r="T167" s="44"/>
    </row>
    <row r="168" spans="1:20">
      <c r="A168" s="303"/>
      <c r="B168" s="34" t="s">
        <v>330</v>
      </c>
      <c r="C168" s="35" t="s">
        <v>309</v>
      </c>
      <c r="D168" s="36" t="s">
        <v>24</v>
      </c>
      <c r="E168" s="36" t="s">
        <v>360</v>
      </c>
      <c r="F168" s="231" t="s">
        <v>135</v>
      </c>
      <c r="G168" s="36"/>
      <c r="H168" s="35"/>
      <c r="I168" s="35" t="s">
        <v>132</v>
      </c>
      <c r="J168" s="35"/>
      <c r="K168" s="159">
        <v>1</v>
      </c>
      <c r="L168" s="159">
        <v>2</v>
      </c>
      <c r="M168" s="160">
        <v>1</v>
      </c>
      <c r="N168" s="191"/>
      <c r="O168" s="190">
        <f t="shared" si="58"/>
        <v>1</v>
      </c>
      <c r="P168" s="191"/>
      <c r="Q168" s="190">
        <f t="shared" si="59"/>
        <v>2</v>
      </c>
      <c r="R168" s="191"/>
      <c r="S168" s="190">
        <f t="shared" si="96"/>
        <v>1.5</v>
      </c>
      <c r="T168" s="44"/>
    </row>
    <row r="169" spans="1:20" ht="26">
      <c r="A169" s="303"/>
      <c r="B169" s="34" t="s">
        <v>330</v>
      </c>
      <c r="C169" s="35" t="s">
        <v>309</v>
      </c>
      <c r="D169" s="36" t="s">
        <v>24</v>
      </c>
      <c r="E169" s="36" t="s">
        <v>361</v>
      </c>
      <c r="F169" s="231" t="s">
        <v>135</v>
      </c>
      <c r="G169" s="36" t="s">
        <v>362</v>
      </c>
      <c r="H169" s="35"/>
      <c r="I169" s="35" t="s">
        <v>132</v>
      </c>
      <c r="J169" s="35"/>
      <c r="K169" s="159">
        <v>3</v>
      </c>
      <c r="L169" s="159">
        <v>5</v>
      </c>
      <c r="M169" s="160">
        <v>1</v>
      </c>
      <c r="N169" s="191"/>
      <c r="O169" s="190">
        <f t="shared" ref="O169:O171" si="117">IF(AND($I169="In",ISNUMBER($K169)),$M169*$K169,"")</f>
        <v>3</v>
      </c>
      <c r="P169" s="191"/>
      <c r="Q169" s="190">
        <f t="shared" ref="Q169:Q171" si="118">IF(AND($I169="In",ISNUMBER($L169)),$M169*$L169,"")</f>
        <v>5</v>
      </c>
      <c r="R169" s="191"/>
      <c r="S169" s="190">
        <f t="shared" ref="S169" si="119">IF(AND(ISNUMBER(O169),ISNUMBER(Q169)),ROUND((O169+Q169)/2, 1),"")</f>
        <v>4</v>
      </c>
      <c r="T169" s="44"/>
    </row>
    <row r="170" spans="1:20">
      <c r="A170" s="303"/>
      <c r="B170" s="34" t="s">
        <v>330</v>
      </c>
      <c r="C170" s="35" t="s">
        <v>309</v>
      </c>
      <c r="D170" s="36" t="s">
        <v>24</v>
      </c>
      <c r="E170" s="36" t="s">
        <v>363</v>
      </c>
      <c r="F170" s="231" t="s">
        <v>135</v>
      </c>
      <c r="G170" s="36"/>
      <c r="H170" s="35"/>
      <c r="I170" s="35" t="s">
        <v>132</v>
      </c>
      <c r="J170" s="35"/>
      <c r="K170" s="159">
        <v>4</v>
      </c>
      <c r="L170" s="159">
        <v>6</v>
      </c>
      <c r="M170" s="160">
        <v>1</v>
      </c>
      <c r="N170" s="191"/>
      <c r="O170" s="190">
        <f t="shared" si="117"/>
        <v>4</v>
      </c>
      <c r="P170" s="191"/>
      <c r="Q170" s="190">
        <f t="shared" si="118"/>
        <v>6</v>
      </c>
      <c r="R170" s="191"/>
      <c r="S170" s="190">
        <f t="shared" ref="S170" si="120">IF(AND(ISNUMBER(O170),ISNUMBER(Q170)),ROUND((O170+Q170)/2, 1),"")</f>
        <v>5</v>
      </c>
      <c r="T170" s="44"/>
    </row>
    <row r="171" spans="1:20" ht="30.75" customHeight="1">
      <c r="A171" s="303"/>
      <c r="B171" s="34" t="s">
        <v>330</v>
      </c>
      <c r="C171" s="35" t="s">
        <v>309</v>
      </c>
      <c r="D171" s="36" t="s">
        <v>24</v>
      </c>
      <c r="E171" s="36" t="s">
        <v>364</v>
      </c>
      <c r="F171" s="231" t="s">
        <v>135</v>
      </c>
      <c r="G171" s="36"/>
      <c r="H171" s="35"/>
      <c r="I171" s="35" t="s">
        <v>132</v>
      </c>
      <c r="J171" s="35"/>
      <c r="K171" s="159">
        <v>3</v>
      </c>
      <c r="L171" s="159">
        <v>5</v>
      </c>
      <c r="M171" s="160">
        <v>1</v>
      </c>
      <c r="N171" s="191"/>
      <c r="O171" s="190">
        <f t="shared" si="117"/>
        <v>3</v>
      </c>
      <c r="P171" s="191"/>
      <c r="Q171" s="190">
        <f t="shared" si="118"/>
        <v>5</v>
      </c>
      <c r="R171" s="191"/>
      <c r="S171" s="190">
        <f t="shared" ref="S171" si="121">IF(AND(ISNUMBER(O171),ISNUMBER(Q171)),ROUND((O171+Q171)/2, 1),"")</f>
        <v>4</v>
      </c>
      <c r="T171" s="44"/>
    </row>
    <row r="172" spans="1:20" ht="26">
      <c r="A172" s="303"/>
      <c r="B172" s="34" t="s">
        <v>129</v>
      </c>
      <c r="C172" s="35" t="s">
        <v>309</v>
      </c>
      <c r="D172" s="36" t="s">
        <v>24</v>
      </c>
      <c r="E172" s="231" t="s">
        <v>365</v>
      </c>
      <c r="F172" s="231" t="s">
        <v>149</v>
      </c>
      <c r="G172" s="36"/>
      <c r="H172" s="35"/>
      <c r="I172" s="35" t="s">
        <v>137</v>
      </c>
      <c r="J172" s="35"/>
      <c r="K172" s="159">
        <v>3.625</v>
      </c>
      <c r="L172" s="159">
        <v>5.875</v>
      </c>
      <c r="M172" s="160">
        <v>5</v>
      </c>
      <c r="N172" s="191">
        <v>3.625</v>
      </c>
      <c r="O172" s="190" t="str">
        <f t="shared" ref="O172" si="122">IF(AND($I172="In",ISNUMBER($K172)),$M172*$K172,"")</f>
        <v/>
      </c>
      <c r="P172" s="191">
        <v>5.875</v>
      </c>
      <c r="Q172" s="190" t="str">
        <f t="shared" ref="Q172" si="123">IF(AND($I172="In",ISNUMBER($L172)),$M172*$L172,"")</f>
        <v/>
      </c>
      <c r="R172" s="191"/>
      <c r="S172" s="190" t="str">
        <f t="shared" ref="S172" si="124">IF(AND(ISNUMBER(O172),ISNUMBER(Q172)),ROUND((O172+Q172)/2, 1),"")</f>
        <v/>
      </c>
      <c r="T172" s="44"/>
    </row>
    <row r="173" spans="1:20" ht="26">
      <c r="A173" s="303"/>
      <c r="B173" s="34" t="s">
        <v>129</v>
      </c>
      <c r="C173" s="35" t="s">
        <v>309</v>
      </c>
      <c r="D173" s="36" t="s">
        <v>24</v>
      </c>
      <c r="E173" s="211" t="s">
        <v>366</v>
      </c>
      <c r="F173" s="231" t="s">
        <v>149</v>
      </c>
      <c r="G173" s="36" t="s">
        <v>367</v>
      </c>
      <c r="H173" s="35"/>
      <c r="I173" s="35" t="s">
        <v>132</v>
      </c>
      <c r="J173" s="35" t="s">
        <v>59</v>
      </c>
      <c r="K173" s="159" t="e">
        <f t="shared" ref="K173:K185" si="125">IF(NOT(ISBLANK(J173)),VLOOKUP(J173, metrics_lookup_table, 4, FALSE))</f>
        <v>#N/A</v>
      </c>
      <c r="L173" s="159" t="e">
        <f t="shared" ref="L173:L185" si="126">IF(NOT(ISBLANK(J173)),VLOOKUP(J173, metrics_lookup_table, 5, FALSE))</f>
        <v>#N/A</v>
      </c>
      <c r="M173" s="160">
        <v>5</v>
      </c>
      <c r="N173" s="191">
        <v>3.625</v>
      </c>
      <c r="O173" s="190" t="str">
        <f t="shared" si="58"/>
        <v/>
      </c>
      <c r="P173" s="191">
        <v>5.875</v>
      </c>
      <c r="Q173" s="190" t="str">
        <f t="shared" si="59"/>
        <v/>
      </c>
      <c r="R173" s="191"/>
      <c r="S173" s="190" t="str">
        <f t="shared" si="96"/>
        <v/>
      </c>
      <c r="T173" s="44"/>
    </row>
    <row r="174" spans="1:20">
      <c r="A174" s="303"/>
      <c r="B174" s="34" t="s">
        <v>129</v>
      </c>
      <c r="C174" s="35" t="s">
        <v>309</v>
      </c>
      <c r="D174" s="36" t="s">
        <v>24</v>
      </c>
      <c r="E174" s="211" t="s">
        <v>239</v>
      </c>
      <c r="F174" s="231" t="s">
        <v>135</v>
      </c>
      <c r="G174" s="36"/>
      <c r="H174" s="35"/>
      <c r="I174" s="35" t="s">
        <v>132</v>
      </c>
      <c r="J174" s="35" t="s">
        <v>54</v>
      </c>
      <c r="K174" s="159" t="e">
        <f t="shared" si="125"/>
        <v>#N/A</v>
      </c>
      <c r="L174" s="159" t="e">
        <f t="shared" si="126"/>
        <v>#N/A</v>
      </c>
      <c r="M174" s="160">
        <v>1</v>
      </c>
      <c r="N174" s="191">
        <v>2</v>
      </c>
      <c r="O174" s="190" t="str">
        <f t="shared" si="58"/>
        <v/>
      </c>
      <c r="P174" s="191">
        <v>3</v>
      </c>
      <c r="Q174" s="190" t="str">
        <f t="shared" si="59"/>
        <v/>
      </c>
      <c r="R174" s="191"/>
      <c r="S174" s="190" t="str">
        <f t="shared" si="96"/>
        <v/>
      </c>
      <c r="T174" s="44"/>
    </row>
    <row r="175" spans="1:20" ht="26">
      <c r="A175" s="303"/>
      <c r="B175" s="34" t="s">
        <v>129</v>
      </c>
      <c r="C175" s="35" t="s">
        <v>309</v>
      </c>
      <c r="D175" s="36" t="s">
        <v>24</v>
      </c>
      <c r="E175" s="211" t="s">
        <v>240</v>
      </c>
      <c r="F175" s="231" t="s">
        <v>149</v>
      </c>
      <c r="G175" s="36" t="s">
        <v>368</v>
      </c>
      <c r="H175" s="35"/>
      <c r="I175" s="35" t="s">
        <v>132</v>
      </c>
      <c r="J175" s="35" t="s">
        <v>54</v>
      </c>
      <c r="K175" s="159" t="e">
        <f>IF(NOT(ISBLANK(J175)),VLOOKUP(J175, metrics_lookup_table, 4, FALSE))</f>
        <v>#N/A</v>
      </c>
      <c r="L175" s="159" t="e">
        <f>IF(NOT(ISBLANK(J175)),VLOOKUP(J175, metrics_lookup_table, 5, FALSE))</f>
        <v>#N/A</v>
      </c>
      <c r="M175" s="160">
        <v>4</v>
      </c>
      <c r="N175" s="191">
        <v>1.75</v>
      </c>
      <c r="O175" s="190" t="str">
        <f t="shared" ref="O175:O186" si="127">IF(AND($I175="In",ISNUMBER($K175)),$M175*$K175,"")</f>
        <v/>
      </c>
      <c r="P175" s="191">
        <v>3.25</v>
      </c>
      <c r="Q175" s="190" t="str">
        <f t="shared" ref="Q175:Q186" si="128">IF(AND($I175="In",ISNUMBER($L175)),$M175*$L175,"")</f>
        <v/>
      </c>
      <c r="R175" s="191"/>
      <c r="S175" s="190" t="str">
        <f t="shared" si="96"/>
        <v/>
      </c>
      <c r="T175" s="44"/>
    </row>
    <row r="176" spans="1:20" ht="26">
      <c r="A176" s="303"/>
      <c r="B176" s="34" t="s">
        <v>129</v>
      </c>
      <c r="C176" s="35" t="s">
        <v>309</v>
      </c>
      <c r="D176" s="36" t="s">
        <v>24</v>
      </c>
      <c r="E176" s="211" t="s">
        <v>241</v>
      </c>
      <c r="F176" s="231" t="s">
        <v>149</v>
      </c>
      <c r="G176" s="36"/>
      <c r="H176" s="35"/>
      <c r="I176" s="35" t="s">
        <v>132</v>
      </c>
      <c r="J176" s="35" t="s">
        <v>54</v>
      </c>
      <c r="K176" s="159" t="e">
        <f t="shared" si="125"/>
        <v>#N/A</v>
      </c>
      <c r="L176" s="159" t="e">
        <f t="shared" si="126"/>
        <v>#N/A</v>
      </c>
      <c r="M176" s="160">
        <v>1</v>
      </c>
      <c r="N176" s="191">
        <v>2</v>
      </c>
      <c r="O176" s="190" t="str">
        <f t="shared" si="127"/>
        <v/>
      </c>
      <c r="P176" s="191">
        <v>3</v>
      </c>
      <c r="Q176" s="190" t="str">
        <f t="shared" si="128"/>
        <v/>
      </c>
      <c r="R176" s="191"/>
      <c r="S176" s="190" t="str">
        <f t="shared" si="96"/>
        <v/>
      </c>
      <c r="T176" s="44"/>
    </row>
    <row r="177" spans="1:20" ht="30" customHeight="1">
      <c r="A177" s="303"/>
      <c r="B177" s="34"/>
      <c r="C177" s="35" t="s">
        <v>309</v>
      </c>
      <c r="D177" s="36" t="s">
        <v>24</v>
      </c>
      <c r="E177" s="211" t="s">
        <v>242</v>
      </c>
      <c r="F177" s="231" t="s">
        <v>149</v>
      </c>
      <c r="G177" s="36" t="s">
        <v>243</v>
      </c>
      <c r="H177" s="35"/>
      <c r="I177" s="35" t="s">
        <v>132</v>
      </c>
      <c r="J177" s="35" t="s">
        <v>59</v>
      </c>
      <c r="K177" s="159" t="e">
        <f t="shared" si="125"/>
        <v>#N/A</v>
      </c>
      <c r="L177" s="159" t="e">
        <f t="shared" si="126"/>
        <v>#N/A</v>
      </c>
      <c r="M177" s="160">
        <v>1</v>
      </c>
      <c r="N177" s="191">
        <v>2</v>
      </c>
      <c r="O177" s="190" t="str">
        <f t="shared" si="127"/>
        <v/>
      </c>
      <c r="P177" s="191">
        <v>3</v>
      </c>
      <c r="Q177" s="190" t="str">
        <f t="shared" si="128"/>
        <v/>
      </c>
      <c r="R177" s="191"/>
      <c r="S177" s="190" t="str">
        <f t="shared" si="96"/>
        <v/>
      </c>
      <c r="T177" s="44"/>
    </row>
    <row r="178" spans="1:20" ht="26">
      <c r="A178" s="303"/>
      <c r="B178" s="34"/>
      <c r="C178" s="35" t="s">
        <v>309</v>
      </c>
      <c r="D178" s="36" t="s">
        <v>24</v>
      </c>
      <c r="E178" s="211" t="s">
        <v>244</v>
      </c>
      <c r="F178" s="231" t="s">
        <v>149</v>
      </c>
      <c r="G178" s="36" t="s">
        <v>369</v>
      </c>
      <c r="H178" s="35"/>
      <c r="I178" s="35" t="s">
        <v>132</v>
      </c>
      <c r="J178" s="35" t="s">
        <v>59</v>
      </c>
      <c r="K178" s="159" t="e">
        <f>IF(NOT(ISBLANK(J178)),VLOOKUP(J178, metrics_lookup_table, 4, FALSE))</f>
        <v>#N/A</v>
      </c>
      <c r="L178" s="159" t="e">
        <f>IF(NOT(ISBLANK(J178)),VLOOKUP(J178, metrics_lookup_table, 5, FALSE))</f>
        <v>#N/A</v>
      </c>
      <c r="M178" s="160">
        <v>1</v>
      </c>
      <c r="N178" s="191">
        <v>3.625</v>
      </c>
      <c r="O178" s="190" t="str">
        <f t="shared" si="127"/>
        <v/>
      </c>
      <c r="P178" s="191">
        <v>5.875</v>
      </c>
      <c r="Q178" s="190" t="str">
        <f t="shared" si="128"/>
        <v/>
      </c>
      <c r="R178" s="191"/>
      <c r="S178" s="190" t="str">
        <f t="shared" si="96"/>
        <v/>
      </c>
      <c r="T178" s="44"/>
    </row>
    <row r="179" spans="1:20" ht="26">
      <c r="A179" s="303"/>
      <c r="B179" s="34"/>
      <c r="C179" s="35" t="s">
        <v>309</v>
      </c>
      <c r="D179" s="36" t="s">
        <v>24</v>
      </c>
      <c r="E179" s="211" t="s">
        <v>245</v>
      </c>
      <c r="F179" s="231" t="s">
        <v>149</v>
      </c>
      <c r="G179" s="36"/>
      <c r="H179" s="35"/>
      <c r="I179" s="35" t="s">
        <v>132</v>
      </c>
      <c r="J179" s="35" t="s">
        <v>54</v>
      </c>
      <c r="K179" s="159" t="e">
        <f t="shared" si="125"/>
        <v>#N/A</v>
      </c>
      <c r="L179" s="159" t="e">
        <f t="shared" si="126"/>
        <v>#N/A</v>
      </c>
      <c r="M179" s="160">
        <v>1</v>
      </c>
      <c r="N179" s="191">
        <v>2</v>
      </c>
      <c r="O179" s="190" t="str">
        <f t="shared" si="127"/>
        <v/>
      </c>
      <c r="P179" s="191">
        <v>3</v>
      </c>
      <c r="Q179" s="190" t="str">
        <f t="shared" si="128"/>
        <v/>
      </c>
      <c r="R179" s="191"/>
      <c r="S179" s="190" t="str">
        <f t="shared" si="96"/>
        <v/>
      </c>
      <c r="T179" s="44"/>
    </row>
    <row r="180" spans="1:20" ht="39">
      <c r="A180" s="303"/>
      <c r="B180" s="34"/>
      <c r="C180" s="35" t="s">
        <v>309</v>
      </c>
      <c r="D180" s="36" t="s">
        <v>24</v>
      </c>
      <c r="E180" s="211" t="s">
        <v>246</v>
      </c>
      <c r="F180" s="231" t="s">
        <v>149</v>
      </c>
      <c r="G180" s="36" t="s">
        <v>247</v>
      </c>
      <c r="H180" s="35"/>
      <c r="I180" s="35" t="s">
        <v>132</v>
      </c>
      <c r="J180" s="35" t="s">
        <v>59</v>
      </c>
      <c r="K180" s="159" t="e">
        <f t="shared" si="125"/>
        <v>#N/A</v>
      </c>
      <c r="L180" s="159" t="e">
        <f t="shared" si="126"/>
        <v>#N/A</v>
      </c>
      <c r="M180" s="160">
        <v>1</v>
      </c>
      <c r="N180" s="191">
        <v>2</v>
      </c>
      <c r="O180" s="190" t="str">
        <f t="shared" si="127"/>
        <v/>
      </c>
      <c r="P180" s="191">
        <v>3</v>
      </c>
      <c r="Q180" s="190" t="str">
        <f t="shared" si="128"/>
        <v/>
      </c>
      <c r="R180" s="191"/>
      <c r="S180" s="190" t="str">
        <f t="shared" si="96"/>
        <v/>
      </c>
      <c r="T180" s="44"/>
    </row>
    <row r="181" spans="1:20" ht="26">
      <c r="A181" s="303"/>
      <c r="B181" s="34"/>
      <c r="C181" s="35" t="s">
        <v>309</v>
      </c>
      <c r="D181" s="36" t="s">
        <v>24</v>
      </c>
      <c r="E181" s="211" t="s">
        <v>248</v>
      </c>
      <c r="F181" s="231" t="s">
        <v>149</v>
      </c>
      <c r="G181" s="36"/>
      <c r="H181" s="35"/>
      <c r="I181" s="35" t="s">
        <v>137</v>
      </c>
      <c r="J181" s="35" t="s">
        <v>59</v>
      </c>
      <c r="K181" s="159" t="e">
        <f t="shared" si="125"/>
        <v>#N/A</v>
      </c>
      <c r="L181" s="159" t="e">
        <f t="shared" si="126"/>
        <v>#N/A</v>
      </c>
      <c r="M181" s="160">
        <v>1</v>
      </c>
      <c r="N181" s="191">
        <v>3.625</v>
      </c>
      <c r="O181" s="190" t="str">
        <f t="shared" si="127"/>
        <v/>
      </c>
      <c r="P181" s="191">
        <v>5.875</v>
      </c>
      <c r="Q181" s="190" t="str">
        <f t="shared" si="128"/>
        <v/>
      </c>
      <c r="R181" s="191"/>
      <c r="S181" s="190" t="str">
        <f t="shared" si="96"/>
        <v/>
      </c>
      <c r="T181" s="44"/>
    </row>
    <row r="182" spans="1:20" ht="26">
      <c r="A182" s="303"/>
      <c r="B182" s="34"/>
      <c r="C182" s="35" t="s">
        <v>309</v>
      </c>
      <c r="D182" s="36" t="s">
        <v>24</v>
      </c>
      <c r="E182" s="211" t="s">
        <v>249</v>
      </c>
      <c r="F182" s="231" t="s">
        <v>149</v>
      </c>
      <c r="G182" s="36"/>
      <c r="H182" s="35"/>
      <c r="I182" s="35" t="s">
        <v>132</v>
      </c>
      <c r="J182" s="35" t="s">
        <v>59</v>
      </c>
      <c r="K182" s="159" t="e">
        <f>IF(NOT(ISBLANK(J182)),VLOOKUP(J182, metrics_lookup_table, 4, FALSE))</f>
        <v>#N/A</v>
      </c>
      <c r="L182" s="159" t="e">
        <f>IF(NOT(ISBLANK(J182)),VLOOKUP(J182, metrics_lookup_table, 5, FALSE))</f>
        <v>#N/A</v>
      </c>
      <c r="M182" s="160">
        <v>1</v>
      </c>
      <c r="N182" s="191">
        <v>9.875</v>
      </c>
      <c r="O182" s="190" t="str">
        <f t="shared" si="127"/>
        <v/>
      </c>
      <c r="P182" s="191">
        <v>19.25</v>
      </c>
      <c r="Q182" s="190" t="str">
        <f t="shared" si="128"/>
        <v/>
      </c>
      <c r="R182" s="191"/>
      <c r="S182" s="190" t="str">
        <f t="shared" si="96"/>
        <v/>
      </c>
      <c r="T182" s="44"/>
    </row>
    <row r="183" spans="1:20" ht="31.5" customHeight="1">
      <c r="A183" s="303"/>
      <c r="B183" s="34"/>
      <c r="C183" s="35" t="s">
        <v>309</v>
      </c>
      <c r="D183" s="36" t="s">
        <v>24</v>
      </c>
      <c r="E183" s="211" t="s">
        <v>250</v>
      </c>
      <c r="F183" s="231" t="s">
        <v>149</v>
      </c>
      <c r="G183" s="36"/>
      <c r="H183" s="35"/>
      <c r="I183" s="35" t="s">
        <v>132</v>
      </c>
      <c r="J183" s="35" t="s">
        <v>59</v>
      </c>
      <c r="K183" s="159" t="e">
        <f t="shared" si="125"/>
        <v>#N/A</v>
      </c>
      <c r="L183" s="159" t="e">
        <f t="shared" si="126"/>
        <v>#N/A</v>
      </c>
      <c r="M183" s="160">
        <v>1</v>
      </c>
      <c r="N183" s="191">
        <v>4</v>
      </c>
      <c r="O183" s="190" t="str">
        <f t="shared" si="127"/>
        <v/>
      </c>
      <c r="P183" s="191">
        <v>6</v>
      </c>
      <c r="Q183" s="190" t="str">
        <f t="shared" si="128"/>
        <v/>
      </c>
      <c r="R183" s="191"/>
      <c r="S183" s="190" t="str">
        <f t="shared" si="96"/>
        <v/>
      </c>
      <c r="T183" s="44" t="s">
        <v>154</v>
      </c>
    </row>
    <row r="184" spans="1:20" ht="31.5" customHeight="1">
      <c r="A184" s="303"/>
      <c r="B184" s="34"/>
      <c r="C184" s="35" t="s">
        <v>309</v>
      </c>
      <c r="D184" s="36" t="s">
        <v>24</v>
      </c>
      <c r="E184" s="211" t="s">
        <v>370</v>
      </c>
      <c r="F184" s="231" t="s">
        <v>149</v>
      </c>
      <c r="G184" s="36"/>
      <c r="H184" s="35"/>
      <c r="I184" s="35" t="s">
        <v>132</v>
      </c>
      <c r="J184" s="35" t="s">
        <v>54</v>
      </c>
      <c r="K184" s="159" t="e">
        <f t="shared" si="125"/>
        <v>#N/A</v>
      </c>
      <c r="L184" s="159" t="e">
        <f t="shared" si="126"/>
        <v>#N/A</v>
      </c>
      <c r="M184" s="160">
        <v>1</v>
      </c>
      <c r="N184" s="191">
        <v>3</v>
      </c>
      <c r="O184" s="190" t="str">
        <f t="shared" si="127"/>
        <v/>
      </c>
      <c r="P184" s="191">
        <v>5</v>
      </c>
      <c r="Q184" s="190" t="str">
        <f t="shared" si="128"/>
        <v/>
      </c>
      <c r="R184" s="191"/>
      <c r="S184" s="190" t="str">
        <f t="shared" si="96"/>
        <v/>
      </c>
      <c r="T184" s="44" t="s">
        <v>154</v>
      </c>
    </row>
    <row r="185" spans="1:20" ht="31.5" customHeight="1">
      <c r="A185" s="303"/>
      <c r="B185" s="34"/>
      <c r="C185" s="35" t="s">
        <v>309</v>
      </c>
      <c r="D185" s="36" t="s">
        <v>24</v>
      </c>
      <c r="E185" s="211" t="s">
        <v>252</v>
      </c>
      <c r="F185" s="231" t="s">
        <v>149</v>
      </c>
      <c r="G185" s="36"/>
      <c r="H185" s="35"/>
      <c r="I185" s="35" t="s">
        <v>132</v>
      </c>
      <c r="J185" s="35" t="s">
        <v>54</v>
      </c>
      <c r="K185" s="159" t="e">
        <f t="shared" si="125"/>
        <v>#N/A</v>
      </c>
      <c r="L185" s="159" t="e">
        <f t="shared" si="126"/>
        <v>#N/A</v>
      </c>
      <c r="M185" s="160">
        <v>1</v>
      </c>
      <c r="N185" s="191">
        <v>4</v>
      </c>
      <c r="O185" s="190" t="str">
        <f t="shared" si="127"/>
        <v/>
      </c>
      <c r="P185" s="191">
        <v>7</v>
      </c>
      <c r="Q185" s="190" t="str">
        <f t="shared" si="128"/>
        <v/>
      </c>
      <c r="R185" s="191"/>
      <c r="S185" s="190" t="str">
        <f t="shared" si="96"/>
        <v/>
      </c>
      <c r="T185" s="44" t="s">
        <v>154</v>
      </c>
    </row>
    <row r="186" spans="1:20" ht="26">
      <c r="A186" s="303"/>
      <c r="B186" s="34"/>
      <c r="C186" s="35" t="s">
        <v>309</v>
      </c>
      <c r="D186" s="36" t="s">
        <v>24</v>
      </c>
      <c r="E186" s="36" t="s">
        <v>151</v>
      </c>
      <c r="F186" s="231" t="s">
        <v>149</v>
      </c>
      <c r="G186" s="36"/>
      <c r="H186" s="35"/>
      <c r="I186" s="35" t="s">
        <v>137</v>
      </c>
      <c r="J186" s="35" t="s">
        <v>59</v>
      </c>
      <c r="K186" s="159" t="e">
        <f>IF(NOT(ISBLANK(J186)),VLOOKUP(J186, metrics_lookup_table, 4, FALSE))</f>
        <v>#N/A</v>
      </c>
      <c r="L186" s="159" t="e">
        <f>IF(NOT(ISBLANK(J186)),VLOOKUP(J186, metrics_lookup_table, 5, FALSE))</f>
        <v>#N/A</v>
      </c>
      <c r="M186" s="160">
        <v>3</v>
      </c>
      <c r="N186" s="191">
        <v>3</v>
      </c>
      <c r="O186" s="190" t="str">
        <f t="shared" si="127"/>
        <v/>
      </c>
      <c r="P186" s="191">
        <v>5</v>
      </c>
      <c r="Q186" s="190" t="str">
        <f t="shared" si="128"/>
        <v/>
      </c>
      <c r="R186" s="191"/>
      <c r="S186" s="190" t="str">
        <f t="shared" si="96"/>
        <v/>
      </c>
      <c r="T186" s="44"/>
    </row>
    <row r="187" spans="1:20" ht="26">
      <c r="A187" s="303"/>
      <c r="B187" s="34"/>
      <c r="C187" s="35"/>
      <c r="D187" s="36" t="s">
        <v>24</v>
      </c>
      <c r="E187" s="231" t="s">
        <v>371</v>
      </c>
      <c r="F187" s="231" t="s">
        <v>149</v>
      </c>
      <c r="G187" s="36"/>
      <c r="H187" s="35"/>
      <c r="I187" s="35" t="s">
        <v>132</v>
      </c>
      <c r="J187" s="35"/>
      <c r="K187" s="159"/>
      <c r="L187" s="159"/>
      <c r="M187" s="160">
        <v>1</v>
      </c>
      <c r="N187" s="191"/>
      <c r="O187" s="190" t="str">
        <f t="shared" ref="O187:O195" si="129">IF(AND($I187="In",ISNUMBER($K187)),$M187*$K187,"")</f>
        <v/>
      </c>
      <c r="P187" s="191"/>
      <c r="Q187" s="190" t="str">
        <f t="shared" ref="Q187:Q195" si="130">IF(AND($I187="In",ISNUMBER($L187)),$M187*$L187,"")</f>
        <v/>
      </c>
      <c r="R187" s="191"/>
      <c r="S187" s="190" t="str">
        <f t="shared" ref="S187:S194" si="131">IF(AND(ISNUMBER(O187),ISNUMBER(Q187)),ROUND((O187+Q187)/2, 1),"")</f>
        <v/>
      </c>
      <c r="T187" s="44"/>
    </row>
    <row r="188" spans="1:20" ht="26">
      <c r="A188" s="303"/>
      <c r="B188" s="34"/>
      <c r="C188" s="35" t="s">
        <v>309</v>
      </c>
      <c r="D188" s="36" t="s">
        <v>24</v>
      </c>
      <c r="E188" s="211" t="s">
        <v>372</v>
      </c>
      <c r="F188" s="231" t="s">
        <v>149</v>
      </c>
      <c r="G188" s="36"/>
      <c r="H188" s="35"/>
      <c r="I188" s="35" t="s">
        <v>132</v>
      </c>
      <c r="J188" s="35"/>
      <c r="K188" s="159">
        <v>3</v>
      </c>
      <c r="L188" s="159">
        <v>5</v>
      </c>
      <c r="M188" s="160">
        <v>1</v>
      </c>
      <c r="N188" s="191"/>
      <c r="O188" s="190">
        <f t="shared" si="129"/>
        <v>3</v>
      </c>
      <c r="P188" s="191"/>
      <c r="Q188" s="190">
        <f t="shared" si="130"/>
        <v>5</v>
      </c>
      <c r="R188" s="191"/>
      <c r="S188" s="190">
        <f t="shared" si="131"/>
        <v>4</v>
      </c>
      <c r="T188" s="44"/>
    </row>
    <row r="189" spans="1:20" ht="26">
      <c r="A189" s="303"/>
      <c r="B189" s="34"/>
      <c r="C189" s="35" t="s">
        <v>309</v>
      </c>
      <c r="D189" s="36" t="s">
        <v>24</v>
      </c>
      <c r="E189" s="211" t="s">
        <v>373</v>
      </c>
      <c r="F189" s="231" t="s">
        <v>149</v>
      </c>
      <c r="G189" s="36"/>
      <c r="H189" s="35"/>
      <c r="I189" s="35" t="s">
        <v>132</v>
      </c>
      <c r="J189" s="35"/>
      <c r="K189" s="159">
        <v>4</v>
      </c>
      <c r="L189" s="159">
        <v>8</v>
      </c>
      <c r="M189" s="160">
        <v>1</v>
      </c>
      <c r="N189" s="191"/>
      <c r="O189" s="190">
        <f t="shared" si="129"/>
        <v>4</v>
      </c>
      <c r="P189" s="191"/>
      <c r="Q189" s="190">
        <f t="shared" si="130"/>
        <v>8</v>
      </c>
      <c r="R189" s="191"/>
      <c r="S189" s="190">
        <f t="shared" ref="S189" si="132">IF(AND(ISNUMBER(O189),ISNUMBER(Q189)),ROUND((O189+Q189)/2, 1),"")</f>
        <v>6</v>
      </c>
      <c r="T189" s="44"/>
    </row>
    <row r="190" spans="1:20" ht="26">
      <c r="A190" s="303"/>
      <c r="B190" s="34"/>
      <c r="C190" s="35" t="s">
        <v>309</v>
      </c>
      <c r="D190" s="36" t="s">
        <v>24</v>
      </c>
      <c r="E190" s="211" t="s">
        <v>374</v>
      </c>
      <c r="F190" s="231" t="s">
        <v>149</v>
      </c>
      <c r="G190" s="36"/>
      <c r="H190" s="35"/>
      <c r="I190" s="35" t="s">
        <v>132</v>
      </c>
      <c r="J190" s="35"/>
      <c r="K190" s="159">
        <v>1</v>
      </c>
      <c r="L190" s="159">
        <v>2</v>
      </c>
      <c r="M190" s="160">
        <v>1</v>
      </c>
      <c r="N190" s="191"/>
      <c r="O190" s="190">
        <f t="shared" si="129"/>
        <v>1</v>
      </c>
      <c r="P190" s="191"/>
      <c r="Q190" s="190">
        <f t="shared" si="130"/>
        <v>2</v>
      </c>
      <c r="R190" s="191"/>
      <c r="S190" s="190">
        <f t="shared" si="131"/>
        <v>1.5</v>
      </c>
      <c r="T190" s="44"/>
    </row>
    <row r="191" spans="1:20" ht="26">
      <c r="A191" s="303"/>
      <c r="B191" s="34"/>
      <c r="C191" s="35" t="s">
        <v>309</v>
      </c>
      <c r="D191" s="36" t="s">
        <v>24</v>
      </c>
      <c r="E191" s="211" t="s">
        <v>375</v>
      </c>
      <c r="F191" s="231" t="s">
        <v>149</v>
      </c>
      <c r="G191" s="36"/>
      <c r="H191" s="35"/>
      <c r="I191" s="35" t="s">
        <v>132</v>
      </c>
      <c r="J191" s="35"/>
      <c r="K191" s="159">
        <v>5</v>
      </c>
      <c r="L191" s="159">
        <v>9</v>
      </c>
      <c r="M191" s="160">
        <v>1</v>
      </c>
      <c r="N191" s="191"/>
      <c r="O191" s="190">
        <f t="shared" si="129"/>
        <v>5</v>
      </c>
      <c r="P191" s="191"/>
      <c r="Q191" s="190">
        <f t="shared" si="130"/>
        <v>9</v>
      </c>
      <c r="R191" s="191"/>
      <c r="S191" s="190">
        <f t="shared" si="131"/>
        <v>7</v>
      </c>
      <c r="T191" s="44"/>
    </row>
    <row r="192" spans="1:20" ht="26">
      <c r="A192" s="303"/>
      <c r="B192" s="34"/>
      <c r="C192" s="35" t="s">
        <v>309</v>
      </c>
      <c r="D192" s="36" t="s">
        <v>24</v>
      </c>
      <c r="E192" s="211" t="s">
        <v>376</v>
      </c>
      <c r="F192" s="231" t="s">
        <v>149</v>
      </c>
      <c r="G192" s="36"/>
      <c r="H192" s="35"/>
      <c r="I192" s="35" t="s">
        <v>132</v>
      </c>
      <c r="J192" s="35"/>
      <c r="K192" s="159">
        <v>7</v>
      </c>
      <c r="L192" s="159">
        <v>9</v>
      </c>
      <c r="M192" s="160">
        <v>1</v>
      </c>
      <c r="N192" s="191"/>
      <c r="O192" s="190">
        <f t="shared" si="129"/>
        <v>7</v>
      </c>
      <c r="P192" s="191"/>
      <c r="Q192" s="190">
        <f t="shared" si="130"/>
        <v>9</v>
      </c>
      <c r="R192" s="191"/>
      <c r="S192" s="190">
        <f t="shared" si="131"/>
        <v>8</v>
      </c>
      <c r="T192" s="44"/>
    </row>
    <row r="193" spans="1:20" ht="26">
      <c r="A193" s="303"/>
      <c r="B193" s="34"/>
      <c r="C193" s="35" t="s">
        <v>309</v>
      </c>
      <c r="D193" s="36" t="s">
        <v>24</v>
      </c>
      <c r="E193" s="211" t="s">
        <v>377</v>
      </c>
      <c r="F193" s="231" t="s">
        <v>149</v>
      </c>
      <c r="G193" s="36"/>
      <c r="H193" s="35"/>
      <c r="I193" s="35" t="s">
        <v>132</v>
      </c>
      <c r="J193" s="35"/>
      <c r="K193" s="159">
        <v>1</v>
      </c>
      <c r="L193" s="159">
        <v>2</v>
      </c>
      <c r="M193" s="160">
        <v>1</v>
      </c>
      <c r="N193" s="191"/>
      <c r="O193" s="190">
        <f t="shared" si="129"/>
        <v>1</v>
      </c>
      <c r="P193" s="191"/>
      <c r="Q193" s="190">
        <f t="shared" si="130"/>
        <v>2</v>
      </c>
      <c r="R193" s="191"/>
      <c r="S193" s="190">
        <f t="shared" si="131"/>
        <v>1.5</v>
      </c>
      <c r="T193" s="44"/>
    </row>
    <row r="194" spans="1:20" ht="26">
      <c r="A194" s="303"/>
      <c r="B194" s="34"/>
      <c r="C194" s="35" t="s">
        <v>309</v>
      </c>
      <c r="D194" s="36" t="s">
        <v>24</v>
      </c>
      <c r="E194" s="211" t="s">
        <v>378</v>
      </c>
      <c r="F194" s="231" t="s">
        <v>149</v>
      </c>
      <c r="G194" s="36"/>
      <c r="H194" s="35"/>
      <c r="I194" s="35" t="s">
        <v>132</v>
      </c>
      <c r="J194" s="35"/>
      <c r="K194" s="159">
        <v>5.9</v>
      </c>
      <c r="L194" s="159">
        <v>9.4499999999999993</v>
      </c>
      <c r="M194" s="160">
        <v>1</v>
      </c>
      <c r="N194" s="191"/>
      <c r="O194" s="190">
        <f t="shared" si="129"/>
        <v>5.9</v>
      </c>
      <c r="P194" s="191"/>
      <c r="Q194" s="190">
        <f t="shared" si="130"/>
        <v>9.4499999999999993</v>
      </c>
      <c r="R194" s="191"/>
      <c r="S194" s="190">
        <f t="shared" si="131"/>
        <v>7.7</v>
      </c>
      <c r="T194" s="44"/>
    </row>
    <row r="195" spans="1:20" ht="26">
      <c r="A195" s="303"/>
      <c r="B195" s="34" t="s">
        <v>330</v>
      </c>
      <c r="C195" s="35" t="s">
        <v>309</v>
      </c>
      <c r="D195" s="36" t="s">
        <v>24</v>
      </c>
      <c r="E195" s="231" t="s">
        <v>379</v>
      </c>
      <c r="F195" s="231" t="s">
        <v>149</v>
      </c>
      <c r="G195" s="36"/>
      <c r="H195" s="35"/>
      <c r="I195" s="35" t="s">
        <v>132</v>
      </c>
      <c r="J195" s="35"/>
      <c r="K195" s="159"/>
      <c r="L195" s="159"/>
      <c r="M195" s="160">
        <v>1</v>
      </c>
      <c r="N195" s="191"/>
      <c r="O195" s="190" t="str">
        <f t="shared" si="129"/>
        <v/>
      </c>
      <c r="P195" s="191"/>
      <c r="Q195" s="190" t="str">
        <f t="shared" si="130"/>
        <v/>
      </c>
      <c r="R195" s="191"/>
      <c r="S195" s="190" t="str">
        <f t="shared" si="96"/>
        <v/>
      </c>
      <c r="T195" s="44"/>
    </row>
    <row r="196" spans="1:20">
      <c r="A196" s="303"/>
      <c r="B196" s="34" t="s">
        <v>330</v>
      </c>
      <c r="C196" s="35" t="s">
        <v>309</v>
      </c>
      <c r="D196" s="36" t="s">
        <v>24</v>
      </c>
      <c r="E196" s="211" t="str">
        <f t="shared" ref="E196:E209" si="133">CONCATENATE("Dev - ",G196)</f>
        <v>Dev - Base Template</v>
      </c>
      <c r="F196" s="231" t="s">
        <v>135</v>
      </c>
      <c r="G196" s="36" t="s">
        <v>380</v>
      </c>
      <c r="H196" s="35"/>
      <c r="I196" s="35" t="s">
        <v>132</v>
      </c>
      <c r="J196" s="35" t="s">
        <v>71</v>
      </c>
      <c r="K196" s="159" t="e">
        <f t="shared" ref="K196:K209" si="134">IF(NOT(ISBLANK(J196)),VLOOKUP(J196, metrics_lookup_table, 4, FALSE))</f>
        <v>#N/A</v>
      </c>
      <c r="L196" s="159" t="e">
        <f t="shared" ref="L196:L209" si="135">IF(NOT(ISBLANK(J196)),VLOOKUP(J196, metrics_lookup_table, 5, FALSE))</f>
        <v>#N/A</v>
      </c>
      <c r="M196" s="160">
        <v>1</v>
      </c>
      <c r="N196" s="191">
        <v>2</v>
      </c>
      <c r="O196" s="190" t="str">
        <f t="shared" si="58"/>
        <v/>
      </c>
      <c r="P196" s="191">
        <v>2.5</v>
      </c>
      <c r="Q196" s="190" t="str">
        <f t="shared" si="59"/>
        <v/>
      </c>
      <c r="R196" s="191"/>
      <c r="S196" s="190" t="str">
        <f t="shared" si="96"/>
        <v/>
      </c>
      <c r="T196" s="44"/>
    </row>
    <row r="197" spans="1:20">
      <c r="A197" s="303"/>
      <c r="B197" s="34" t="s">
        <v>129</v>
      </c>
      <c r="C197" s="35" t="s">
        <v>309</v>
      </c>
      <c r="D197" s="36" t="s">
        <v>24</v>
      </c>
      <c r="E197" s="211" t="str">
        <f t="shared" si="133"/>
        <v>Dev - 1-col</v>
      </c>
      <c r="F197" s="231" t="s">
        <v>135</v>
      </c>
      <c r="G197" s="36" t="s">
        <v>381</v>
      </c>
      <c r="H197" s="35"/>
      <c r="I197" s="35" t="s">
        <v>132</v>
      </c>
      <c r="J197" s="35" t="s">
        <v>66</v>
      </c>
      <c r="K197" s="159" t="e">
        <f t="shared" si="134"/>
        <v>#N/A</v>
      </c>
      <c r="L197" s="159" t="e">
        <f t="shared" si="135"/>
        <v>#N/A</v>
      </c>
      <c r="M197" s="160">
        <v>1</v>
      </c>
      <c r="N197" s="191">
        <v>1.125</v>
      </c>
      <c r="O197" s="190" t="str">
        <f t="shared" si="58"/>
        <v/>
      </c>
      <c r="P197" s="191">
        <v>1.75</v>
      </c>
      <c r="Q197" s="190" t="str">
        <f t="shared" si="59"/>
        <v/>
      </c>
      <c r="R197" s="191"/>
      <c r="S197" s="190" t="str">
        <f t="shared" si="96"/>
        <v/>
      </c>
      <c r="T197" s="44"/>
    </row>
    <row r="198" spans="1:20" ht="26">
      <c r="A198" s="303"/>
      <c r="B198" s="34" t="s">
        <v>129</v>
      </c>
      <c r="C198" s="35" t="s">
        <v>309</v>
      </c>
      <c r="D198" s="36" t="s">
        <v>24</v>
      </c>
      <c r="E198" s="211" t="str">
        <f t="shared" si="133"/>
        <v>Dev - 2-col with navigation</v>
      </c>
      <c r="F198" s="231" t="s">
        <v>149</v>
      </c>
      <c r="G198" s="36" t="s">
        <v>382</v>
      </c>
      <c r="H198" s="35"/>
      <c r="I198" s="35" t="s">
        <v>132</v>
      </c>
      <c r="J198" s="35" t="s">
        <v>66</v>
      </c>
      <c r="K198" s="159" t="e">
        <f t="shared" si="134"/>
        <v>#N/A</v>
      </c>
      <c r="L198" s="159" t="e">
        <f t="shared" si="135"/>
        <v>#N/A</v>
      </c>
      <c r="M198" s="160">
        <v>1</v>
      </c>
      <c r="N198" s="191">
        <v>1.125</v>
      </c>
      <c r="O198" s="190" t="str">
        <f t="shared" si="58"/>
        <v/>
      </c>
      <c r="P198" s="191">
        <v>1.75</v>
      </c>
      <c r="Q198" s="190" t="str">
        <f t="shared" si="59"/>
        <v/>
      </c>
      <c r="R198" s="191"/>
      <c r="S198" s="190" t="str">
        <f t="shared" si="96"/>
        <v/>
      </c>
      <c r="T198" s="44"/>
    </row>
    <row r="199" spans="1:20" ht="26">
      <c r="A199" s="303"/>
      <c r="B199" s="34" t="s">
        <v>129</v>
      </c>
      <c r="C199" s="35" t="s">
        <v>309</v>
      </c>
      <c r="D199" s="36" t="s">
        <v>24</v>
      </c>
      <c r="E199" s="211" t="str">
        <f t="shared" si="133"/>
        <v>Dev - Article Page - 2-col with navigation</v>
      </c>
      <c r="F199" s="231" t="s">
        <v>149</v>
      </c>
      <c r="G199" s="36" t="s">
        <v>383</v>
      </c>
      <c r="H199" s="35"/>
      <c r="I199" s="35" t="s">
        <v>132</v>
      </c>
      <c r="J199" s="35" t="s">
        <v>66</v>
      </c>
      <c r="K199" s="159" t="e">
        <f t="shared" si="134"/>
        <v>#N/A</v>
      </c>
      <c r="L199" s="159" t="e">
        <f t="shared" si="135"/>
        <v>#N/A</v>
      </c>
      <c r="M199" s="160">
        <v>1</v>
      </c>
      <c r="N199" s="191">
        <v>1.125</v>
      </c>
      <c r="O199" s="190" t="str">
        <f t="shared" si="58"/>
        <v/>
      </c>
      <c r="P199" s="191">
        <v>1.75</v>
      </c>
      <c r="Q199" s="190" t="str">
        <f t="shared" si="59"/>
        <v/>
      </c>
      <c r="R199" s="191"/>
      <c r="S199" s="190" t="str">
        <f t="shared" si="96"/>
        <v/>
      </c>
      <c r="T199" s="44"/>
    </row>
    <row r="200" spans="1:20" ht="26">
      <c r="A200" s="303"/>
      <c r="B200" s="34" t="s">
        <v>129</v>
      </c>
      <c r="C200" s="35" t="s">
        <v>309</v>
      </c>
      <c r="D200" s="36" t="s">
        <v>24</v>
      </c>
      <c r="E200" s="211" t="str">
        <f t="shared" si="133"/>
        <v>Dev - Frame</v>
      </c>
      <c r="F200" s="231" t="s">
        <v>149</v>
      </c>
      <c r="G200" s="36" t="s">
        <v>384</v>
      </c>
      <c r="H200" s="35"/>
      <c r="I200" s="35" t="s">
        <v>132</v>
      </c>
      <c r="J200" s="35" t="s">
        <v>68</v>
      </c>
      <c r="K200" s="159" t="e">
        <f t="shared" si="134"/>
        <v>#N/A</v>
      </c>
      <c r="L200" s="159" t="e">
        <f t="shared" si="135"/>
        <v>#N/A</v>
      </c>
      <c r="M200" s="160">
        <v>1</v>
      </c>
      <c r="N200" s="191">
        <v>1.4375</v>
      </c>
      <c r="O200" s="190" t="str">
        <f t="shared" si="58"/>
        <v/>
      </c>
      <c r="P200" s="191">
        <v>2.0625</v>
      </c>
      <c r="Q200" s="190" t="str">
        <f t="shared" si="59"/>
        <v/>
      </c>
      <c r="R200" s="191"/>
      <c r="S200" s="190" t="str">
        <f t="shared" si="96"/>
        <v/>
      </c>
      <c r="T200" s="44"/>
    </row>
    <row r="201" spans="1:20" ht="26">
      <c r="A201" s="303"/>
      <c r="B201" s="34" t="s">
        <v>129</v>
      </c>
      <c r="C201" s="35" t="s">
        <v>309</v>
      </c>
      <c r="D201" s="36" t="s">
        <v>24</v>
      </c>
      <c r="E201" s="211" t="str">
        <f t="shared" si="133"/>
        <v>Dev - Overlay Template</v>
      </c>
      <c r="F201" s="231" t="s">
        <v>149</v>
      </c>
      <c r="G201" s="36" t="s">
        <v>385</v>
      </c>
      <c r="H201" s="35"/>
      <c r="I201" s="35" t="s">
        <v>132</v>
      </c>
      <c r="J201" s="35" t="s">
        <v>68</v>
      </c>
      <c r="K201" s="159" t="e">
        <f t="shared" si="134"/>
        <v>#N/A</v>
      </c>
      <c r="L201" s="159" t="e">
        <f t="shared" si="135"/>
        <v>#N/A</v>
      </c>
      <c r="M201" s="160">
        <v>1</v>
      </c>
      <c r="N201" s="191">
        <v>1.4375</v>
      </c>
      <c r="O201" s="190" t="str">
        <f t="shared" si="58"/>
        <v/>
      </c>
      <c r="P201" s="191">
        <v>2.0625</v>
      </c>
      <c r="Q201" s="190" t="str">
        <f t="shared" si="59"/>
        <v/>
      </c>
      <c r="R201" s="191"/>
      <c r="S201" s="190" t="str">
        <f t="shared" si="96"/>
        <v/>
      </c>
      <c r="T201" s="44"/>
    </row>
    <row r="202" spans="1:20">
      <c r="A202" s="303"/>
      <c r="B202" s="34" t="s">
        <v>129</v>
      </c>
      <c r="C202" s="35" t="s">
        <v>309</v>
      </c>
      <c r="D202" s="36" t="s">
        <v>24</v>
      </c>
      <c r="E202" s="211" t="str">
        <f t="shared" si="133"/>
        <v>Dev - Fund Details - Base</v>
      </c>
      <c r="F202" s="231" t="s">
        <v>135</v>
      </c>
      <c r="G202" s="36" t="s">
        <v>386</v>
      </c>
      <c r="H202" s="35"/>
      <c r="I202" s="35" t="s">
        <v>132</v>
      </c>
      <c r="J202" s="35" t="s">
        <v>68</v>
      </c>
      <c r="K202" s="159" t="e">
        <f t="shared" si="134"/>
        <v>#N/A</v>
      </c>
      <c r="L202" s="159" t="e">
        <f t="shared" si="135"/>
        <v>#N/A</v>
      </c>
      <c r="M202" s="160">
        <v>1</v>
      </c>
      <c r="N202" s="191">
        <v>1.4375</v>
      </c>
      <c r="O202" s="190" t="str">
        <f t="shared" si="58"/>
        <v/>
      </c>
      <c r="P202" s="191">
        <v>2.0625</v>
      </c>
      <c r="Q202" s="190" t="str">
        <f t="shared" si="59"/>
        <v/>
      </c>
      <c r="R202" s="191"/>
      <c r="S202" s="190" t="str">
        <f t="shared" si="96"/>
        <v/>
      </c>
      <c r="T202" s="44"/>
    </row>
    <row r="203" spans="1:20" ht="26">
      <c r="A203" s="303"/>
      <c r="B203" s="34" t="s">
        <v>129</v>
      </c>
      <c r="C203" s="35" t="s">
        <v>309</v>
      </c>
      <c r="D203" s="36" t="s">
        <v>24</v>
      </c>
      <c r="E203" s="211" t="str">
        <f t="shared" ref="E203" si="136">CONCATENATE("Dev - ",G203)</f>
        <v>Dev - Fund Details - Variations</v>
      </c>
      <c r="F203" s="231" t="s">
        <v>149</v>
      </c>
      <c r="G203" s="36" t="s">
        <v>387</v>
      </c>
      <c r="H203" s="35"/>
      <c r="I203" s="35" t="s">
        <v>132</v>
      </c>
      <c r="J203" s="35" t="s">
        <v>68</v>
      </c>
      <c r="K203" s="159" t="e">
        <f t="shared" si="134"/>
        <v>#N/A</v>
      </c>
      <c r="L203" s="159" t="e">
        <f t="shared" si="135"/>
        <v>#N/A</v>
      </c>
      <c r="M203" s="160">
        <v>4</v>
      </c>
      <c r="N203" s="191">
        <v>1.4375</v>
      </c>
      <c r="O203" s="190" t="str">
        <f t="shared" ref="O203" si="137">IF(AND($I203="In",ISNUMBER($K203)),$M203*$K203,"")</f>
        <v/>
      </c>
      <c r="P203" s="191">
        <v>2.0625</v>
      </c>
      <c r="Q203" s="190" t="str">
        <f t="shared" ref="Q203" si="138">IF(AND($I203="In",ISNUMBER($L203)),$M203*$L203,"")</f>
        <v/>
      </c>
      <c r="R203" s="191"/>
      <c r="S203" s="190" t="str">
        <f t="shared" ref="S203" si="139">IF(AND(ISNUMBER(O203),ISNUMBER(Q203)),ROUND((O203+Q203)/2, 1),"")</f>
        <v/>
      </c>
      <c r="T203" s="44"/>
    </row>
    <row r="204" spans="1:20" ht="26">
      <c r="A204" s="303"/>
      <c r="B204" s="34" t="s">
        <v>129</v>
      </c>
      <c r="C204" s="35" t="s">
        <v>309</v>
      </c>
      <c r="D204" s="36" t="s">
        <v>24</v>
      </c>
      <c r="E204" s="211" t="str">
        <f t="shared" si="133"/>
        <v>Dev - Print</v>
      </c>
      <c r="F204" s="231" t="s">
        <v>149</v>
      </c>
      <c r="G204" s="36" t="s">
        <v>388</v>
      </c>
      <c r="H204" s="35"/>
      <c r="I204" s="35" t="s">
        <v>132</v>
      </c>
      <c r="J204" s="35" t="s">
        <v>68</v>
      </c>
      <c r="K204" s="159" t="e">
        <f t="shared" si="134"/>
        <v>#N/A</v>
      </c>
      <c r="L204" s="159" t="e">
        <f t="shared" si="135"/>
        <v>#N/A</v>
      </c>
      <c r="M204" s="160">
        <v>1</v>
      </c>
      <c r="N204" s="191">
        <v>1.4375</v>
      </c>
      <c r="O204" s="190" t="str">
        <f t="shared" si="58"/>
        <v/>
      </c>
      <c r="P204" s="191">
        <v>2.0625</v>
      </c>
      <c r="Q204" s="190" t="str">
        <f t="shared" si="59"/>
        <v/>
      </c>
      <c r="R204" s="191"/>
      <c r="S204" s="190" t="str">
        <f t="shared" si="96"/>
        <v/>
      </c>
      <c r="T204" s="44"/>
    </row>
    <row r="205" spans="1:20" ht="26">
      <c r="A205" s="303"/>
      <c r="B205" s="34" t="s">
        <v>129</v>
      </c>
      <c r="C205" s="35" t="s">
        <v>309</v>
      </c>
      <c r="D205" s="36" t="s">
        <v>24</v>
      </c>
      <c r="E205" s="211" t="str">
        <f t="shared" si="133"/>
        <v>Dev - LandingPage</v>
      </c>
      <c r="F205" s="231" t="s">
        <v>149</v>
      </c>
      <c r="G205" s="36" t="s">
        <v>389</v>
      </c>
      <c r="H205" s="35"/>
      <c r="I205" s="35" t="s">
        <v>132</v>
      </c>
      <c r="J205" s="35" t="s">
        <v>66</v>
      </c>
      <c r="K205" s="159" t="e">
        <f t="shared" si="134"/>
        <v>#N/A</v>
      </c>
      <c r="L205" s="159" t="e">
        <f t="shared" si="135"/>
        <v>#N/A</v>
      </c>
      <c r="M205" s="160">
        <v>1</v>
      </c>
      <c r="N205" s="191">
        <v>1.125</v>
      </c>
      <c r="O205" s="190" t="str">
        <f t="shared" si="58"/>
        <v/>
      </c>
      <c r="P205" s="191">
        <v>1.75</v>
      </c>
      <c r="Q205" s="190" t="str">
        <f t="shared" si="59"/>
        <v/>
      </c>
      <c r="R205" s="191"/>
      <c r="S205" s="190" t="str">
        <f t="shared" si="96"/>
        <v/>
      </c>
      <c r="T205" s="44"/>
    </row>
    <row r="206" spans="1:20" ht="26">
      <c r="A206" s="303"/>
      <c r="B206" s="34" t="s">
        <v>129</v>
      </c>
      <c r="C206" s="35" t="s">
        <v>309</v>
      </c>
      <c r="D206" s="36" t="s">
        <v>24</v>
      </c>
      <c r="E206" s="211" t="str">
        <f t="shared" si="133"/>
        <v>Dev - Insights Template</v>
      </c>
      <c r="F206" s="231" t="s">
        <v>149</v>
      </c>
      <c r="G206" s="36" t="s">
        <v>390</v>
      </c>
      <c r="H206" s="35"/>
      <c r="I206" s="35" t="s">
        <v>132</v>
      </c>
      <c r="J206" s="35" t="s">
        <v>66</v>
      </c>
      <c r="K206" s="159" t="e">
        <f t="shared" si="134"/>
        <v>#N/A</v>
      </c>
      <c r="L206" s="159" t="e">
        <f t="shared" si="135"/>
        <v>#N/A</v>
      </c>
      <c r="M206" s="160">
        <v>1</v>
      </c>
      <c r="N206" s="191">
        <v>1.125</v>
      </c>
      <c r="O206" s="190" t="str">
        <f t="shared" si="58"/>
        <v/>
      </c>
      <c r="P206" s="191">
        <v>1.75</v>
      </c>
      <c r="Q206" s="190" t="str">
        <f t="shared" si="59"/>
        <v/>
      </c>
      <c r="R206" s="191"/>
      <c r="S206" s="190" t="str">
        <f t="shared" ref="S206" si="140">IF(AND(ISNUMBER(O206),ISNUMBER(Q206)),ROUND((O206+Q206)/2, 1),"")</f>
        <v/>
      </c>
      <c r="T206" s="44"/>
    </row>
    <row r="207" spans="1:20" ht="26">
      <c r="A207" s="303"/>
      <c r="B207" s="34" t="s">
        <v>129</v>
      </c>
      <c r="C207" s="35" t="s">
        <v>309</v>
      </c>
      <c r="D207" s="36" t="s">
        <v>24</v>
      </c>
      <c r="E207" s="211" t="str">
        <f t="shared" si="133"/>
        <v>Dev - History Template</v>
      </c>
      <c r="F207" s="231" t="s">
        <v>149</v>
      </c>
      <c r="G207" s="36" t="s">
        <v>391</v>
      </c>
      <c r="H207" s="35"/>
      <c r="I207" s="35" t="s">
        <v>132</v>
      </c>
      <c r="J207" s="35" t="s">
        <v>66</v>
      </c>
      <c r="K207" s="159" t="e">
        <f t="shared" si="134"/>
        <v>#N/A</v>
      </c>
      <c r="L207" s="159" t="e">
        <f t="shared" si="135"/>
        <v>#N/A</v>
      </c>
      <c r="M207" s="160">
        <v>1</v>
      </c>
      <c r="N207" s="191">
        <v>1.125</v>
      </c>
      <c r="O207" s="190" t="str">
        <f t="shared" si="58"/>
        <v/>
      </c>
      <c r="P207" s="191">
        <v>1.75</v>
      </c>
      <c r="Q207" s="190" t="str">
        <f t="shared" si="59"/>
        <v/>
      </c>
      <c r="R207" s="191"/>
      <c r="S207" s="190" t="str">
        <f t="shared" si="96"/>
        <v/>
      </c>
      <c r="T207" s="44"/>
    </row>
    <row r="208" spans="1:20" ht="26">
      <c r="A208" s="303"/>
      <c r="B208" s="34" t="s">
        <v>129</v>
      </c>
      <c r="C208" s="35" t="s">
        <v>309</v>
      </c>
      <c r="D208" s="36" t="s">
        <v>24</v>
      </c>
      <c r="E208" s="211" t="str">
        <f t="shared" si="133"/>
        <v>Dev - Carousal Template</v>
      </c>
      <c r="F208" s="231" t="s">
        <v>149</v>
      </c>
      <c r="G208" s="36" t="s">
        <v>392</v>
      </c>
      <c r="H208" s="35"/>
      <c r="I208" s="35" t="s">
        <v>132</v>
      </c>
      <c r="J208" s="35" t="s">
        <v>66</v>
      </c>
      <c r="K208" s="159" t="e">
        <f t="shared" si="134"/>
        <v>#N/A</v>
      </c>
      <c r="L208" s="159" t="e">
        <f t="shared" si="135"/>
        <v>#N/A</v>
      </c>
      <c r="M208" s="160">
        <v>1</v>
      </c>
      <c r="N208" s="191">
        <v>1.125</v>
      </c>
      <c r="O208" s="190" t="str">
        <f t="shared" si="58"/>
        <v/>
      </c>
      <c r="P208" s="191">
        <v>1.75</v>
      </c>
      <c r="Q208" s="190" t="str">
        <f t="shared" si="59"/>
        <v/>
      </c>
      <c r="R208" s="191"/>
      <c r="S208" s="190" t="str">
        <f t="shared" si="96"/>
        <v/>
      </c>
      <c r="T208" s="44"/>
    </row>
    <row r="209" spans="1:20">
      <c r="A209" s="303"/>
      <c r="B209" s="34" t="s">
        <v>129</v>
      </c>
      <c r="C209" s="35" t="s">
        <v>309</v>
      </c>
      <c r="D209" s="36" t="s">
        <v>24</v>
      </c>
      <c r="E209" s="211" t="str">
        <f t="shared" si="133"/>
        <v>Dev - UserProfile Template</v>
      </c>
      <c r="F209" s="231" t="s">
        <v>135</v>
      </c>
      <c r="G209" s="36" t="s">
        <v>393</v>
      </c>
      <c r="H209" s="35"/>
      <c r="I209" s="35" t="s">
        <v>132</v>
      </c>
      <c r="J209" s="35" t="s">
        <v>66</v>
      </c>
      <c r="K209" s="159" t="e">
        <f t="shared" si="134"/>
        <v>#N/A</v>
      </c>
      <c r="L209" s="159" t="e">
        <f t="shared" si="135"/>
        <v>#N/A</v>
      </c>
      <c r="M209" s="160">
        <v>1</v>
      </c>
      <c r="N209" s="191">
        <v>1.125</v>
      </c>
      <c r="O209" s="190" t="str">
        <f t="shared" si="58"/>
        <v/>
      </c>
      <c r="P209" s="191">
        <v>1.75</v>
      </c>
      <c r="Q209" s="190" t="str">
        <f t="shared" si="59"/>
        <v/>
      </c>
      <c r="R209" s="191"/>
      <c r="S209" s="190" t="str">
        <f t="shared" si="96"/>
        <v/>
      </c>
      <c r="T209" s="44"/>
    </row>
    <row r="210" spans="1:20" ht="26">
      <c r="A210" s="303"/>
      <c r="B210" s="34" t="s">
        <v>330</v>
      </c>
      <c r="C210" s="35" t="s">
        <v>309</v>
      </c>
      <c r="D210" s="36" t="s">
        <v>24</v>
      </c>
      <c r="E210" s="231" t="s">
        <v>394</v>
      </c>
      <c r="F210" s="231" t="s">
        <v>149</v>
      </c>
      <c r="G210" s="36"/>
      <c r="H210" s="35"/>
      <c r="I210" s="35" t="s">
        <v>132</v>
      </c>
      <c r="J210" s="35"/>
      <c r="K210" s="159"/>
      <c r="L210" s="159"/>
      <c r="M210" s="160">
        <v>1</v>
      </c>
      <c r="N210" s="191"/>
      <c r="O210" s="190" t="str">
        <f t="shared" si="58"/>
        <v/>
      </c>
      <c r="P210" s="191"/>
      <c r="Q210" s="190" t="str">
        <f>IF(AND($I210="In",ISNUMBER($L210)),$M210*$L210,"")</f>
        <v/>
      </c>
      <c r="R210" s="191"/>
      <c r="S210" s="190" t="str">
        <f t="shared" si="96"/>
        <v/>
      </c>
      <c r="T210" s="44"/>
    </row>
    <row r="211" spans="1:20" ht="26">
      <c r="A211" s="303"/>
      <c r="B211" s="34" t="s">
        <v>129</v>
      </c>
      <c r="C211" s="35" t="s">
        <v>309</v>
      </c>
      <c r="D211" s="36" t="s">
        <v>24</v>
      </c>
      <c r="E211" s="211" t="str">
        <f>CONCATENATE("Dev - ",G211)</f>
        <v>Dev - Age-based Portfolios</v>
      </c>
      <c r="F211" s="231" t="s">
        <v>149</v>
      </c>
      <c r="G211" s="36" t="s">
        <v>395</v>
      </c>
      <c r="H211" s="35"/>
      <c r="I211" s="35" t="s">
        <v>132</v>
      </c>
      <c r="J211" s="35" t="s">
        <v>87</v>
      </c>
      <c r="K211" s="159" t="e">
        <f>IF(NOT(ISBLANK(J211)),VLOOKUP(J211, metrics_lookup_table, 4, FALSE))</f>
        <v>#N/A</v>
      </c>
      <c r="L211" s="159" t="e">
        <f>IF(NOT(ISBLANK(J211)),VLOOKUP(J211, metrics_lookup_table, 5, FALSE))</f>
        <v>#N/A</v>
      </c>
      <c r="M211" s="160">
        <v>1</v>
      </c>
      <c r="N211" s="191">
        <v>3.75</v>
      </c>
      <c r="O211" s="190" t="str">
        <f t="shared" si="58"/>
        <v/>
      </c>
      <c r="P211" s="191">
        <v>5.625</v>
      </c>
      <c r="Q211" s="190" t="str">
        <f t="shared" si="59"/>
        <v/>
      </c>
      <c r="R211" s="191"/>
      <c r="S211" s="190" t="str">
        <f t="shared" ref="S211:S297" si="141">IF(AND(ISNUMBER(O211),ISNUMBER(Q211)),ROUND((O211+Q211)/2, 1),"")</f>
        <v/>
      </c>
      <c r="T211" s="44"/>
    </row>
    <row r="212" spans="1:20">
      <c r="A212" s="303"/>
      <c r="B212" s="34" t="s">
        <v>330</v>
      </c>
      <c r="C212" s="35" t="s">
        <v>309</v>
      </c>
      <c r="D212" s="36" t="s">
        <v>24</v>
      </c>
      <c r="E212" s="211" t="str">
        <f t="shared" ref="E212:E273" si="142">CONCATENATE("Dev - ",G212)</f>
        <v>Dev - Average Annual Total Returns</v>
      </c>
      <c r="F212" s="231" t="s">
        <v>135</v>
      </c>
      <c r="G212" s="36" t="s">
        <v>396</v>
      </c>
      <c r="H212" s="35"/>
      <c r="I212" s="35" t="s">
        <v>132</v>
      </c>
      <c r="J212" s="35" t="s">
        <v>77</v>
      </c>
      <c r="K212" s="159" t="e">
        <f>IF(NOT(ISBLANK(J212)),VLOOKUP(J212, metrics_lookup_table, 4, FALSE))</f>
        <v>#N/A</v>
      </c>
      <c r="L212" s="159" t="e">
        <f>IF(NOT(ISBLANK(J212)),VLOOKUP(J212, metrics_lookup_table, 5, FALSE))</f>
        <v>#N/A</v>
      </c>
      <c r="M212" s="160">
        <v>1</v>
      </c>
      <c r="N212" s="191">
        <v>1.5625</v>
      </c>
      <c r="O212" s="190" t="str">
        <f t="shared" si="58"/>
        <v/>
      </c>
      <c r="P212" s="191">
        <v>2.625</v>
      </c>
      <c r="Q212" s="190" t="str">
        <f t="shared" si="59"/>
        <v/>
      </c>
      <c r="R212" s="191"/>
      <c r="S212" s="190" t="str">
        <f t="shared" si="141"/>
        <v/>
      </c>
      <c r="T212" s="44"/>
    </row>
    <row r="213" spans="1:20" ht="26">
      <c r="A213" s="303"/>
      <c r="B213" s="34" t="s">
        <v>330</v>
      </c>
      <c r="C213" s="35" t="s">
        <v>309</v>
      </c>
      <c r="D213" s="36" t="s">
        <v>24</v>
      </c>
      <c r="E213" s="211" t="str">
        <f t="shared" si="142"/>
        <v>Dev - Banner</v>
      </c>
      <c r="F213" s="231" t="s">
        <v>149</v>
      </c>
      <c r="G213" s="36" t="s">
        <v>397</v>
      </c>
      <c r="H213" s="35"/>
      <c r="I213" s="35" t="s">
        <v>132</v>
      </c>
      <c r="J213" s="35" t="s">
        <v>77</v>
      </c>
      <c r="K213" s="159" t="e">
        <f>IF(NOT(ISBLANK(J213)),VLOOKUP(J213, metrics_lookup_table, 4, FALSE))</f>
        <v>#N/A</v>
      </c>
      <c r="L213" s="159" t="e">
        <f>IF(NOT(ISBLANK(J213)),VLOOKUP(J213, metrics_lookup_table, 5, FALSE))</f>
        <v>#N/A</v>
      </c>
      <c r="M213" s="160">
        <v>1</v>
      </c>
      <c r="N213" s="191">
        <v>1.5625</v>
      </c>
      <c r="O213" s="190" t="str">
        <f t="shared" si="58"/>
        <v/>
      </c>
      <c r="P213" s="191">
        <v>2.625</v>
      </c>
      <c r="Q213" s="190" t="str">
        <f t="shared" si="59"/>
        <v/>
      </c>
      <c r="R213" s="191"/>
      <c r="S213" s="190" t="str">
        <f t="shared" si="141"/>
        <v/>
      </c>
      <c r="T213" s="44"/>
    </row>
    <row r="214" spans="1:20">
      <c r="A214" s="303"/>
      <c r="B214" s="34" t="s">
        <v>129</v>
      </c>
      <c r="C214" s="35" t="s">
        <v>309</v>
      </c>
      <c r="D214" s="36" t="s">
        <v>24</v>
      </c>
      <c r="E214" s="211" t="str">
        <f t="shared" si="142"/>
        <v>Dev - Calendar Year Returns</v>
      </c>
      <c r="F214" s="231" t="s">
        <v>135</v>
      </c>
      <c r="G214" s="36" t="s">
        <v>398</v>
      </c>
      <c r="H214" s="35"/>
      <c r="I214" s="35" t="s">
        <v>132</v>
      </c>
      <c r="J214" s="35" t="s">
        <v>87</v>
      </c>
      <c r="K214" s="159" t="e">
        <f t="shared" ref="K214:K244" si="143">IF(NOT(ISBLANK(J214)),VLOOKUP(J214, metrics_lookup_table, 4, FALSE))</f>
        <v>#N/A</v>
      </c>
      <c r="L214" s="159" t="e">
        <f t="shared" ref="L214:L244" si="144">IF(NOT(ISBLANK(J214)),VLOOKUP(J214, metrics_lookup_table, 5, FALSE))</f>
        <v>#N/A</v>
      </c>
      <c r="M214" s="160">
        <v>1</v>
      </c>
      <c r="N214" s="191">
        <v>3.25</v>
      </c>
      <c r="O214" s="190" t="str">
        <f t="shared" si="58"/>
        <v/>
      </c>
      <c r="P214" s="191">
        <v>4.875</v>
      </c>
      <c r="Q214" s="190" t="str">
        <f t="shared" si="59"/>
        <v/>
      </c>
      <c r="R214" s="191"/>
      <c r="S214" s="190" t="str">
        <f t="shared" si="141"/>
        <v/>
      </c>
      <c r="T214" s="44"/>
    </row>
    <row r="215" spans="1:20" ht="26">
      <c r="A215" s="303"/>
      <c r="B215" s="34" t="s">
        <v>129</v>
      </c>
      <c r="C215" s="35" t="s">
        <v>309</v>
      </c>
      <c r="D215" s="36" t="s">
        <v>24</v>
      </c>
      <c r="E215" s="211" t="str">
        <f t="shared" si="142"/>
        <v>Dev - Carousal</v>
      </c>
      <c r="F215" s="231" t="s">
        <v>149</v>
      </c>
      <c r="G215" s="36" t="s">
        <v>399</v>
      </c>
      <c r="H215" s="35"/>
      <c r="I215" s="35" t="s">
        <v>132</v>
      </c>
      <c r="J215" s="35" t="s">
        <v>87</v>
      </c>
      <c r="K215" s="159" t="e">
        <f t="shared" si="143"/>
        <v>#N/A</v>
      </c>
      <c r="L215" s="159" t="e">
        <f t="shared" si="144"/>
        <v>#N/A</v>
      </c>
      <c r="M215" s="160">
        <v>1</v>
      </c>
      <c r="N215" s="191">
        <v>3.25</v>
      </c>
      <c r="O215" s="190" t="str">
        <f t="shared" si="58"/>
        <v/>
      </c>
      <c r="P215" s="191">
        <v>4.875</v>
      </c>
      <c r="Q215" s="190" t="str">
        <f t="shared" si="59"/>
        <v/>
      </c>
      <c r="R215" s="191"/>
      <c r="S215" s="190" t="str">
        <f t="shared" si="141"/>
        <v/>
      </c>
      <c r="T215" s="44"/>
    </row>
    <row r="216" spans="1:20" ht="26">
      <c r="A216" s="303"/>
      <c r="B216" s="34" t="s">
        <v>129</v>
      </c>
      <c r="C216" s="35" t="s">
        <v>309</v>
      </c>
      <c r="D216" s="36" t="s">
        <v>24</v>
      </c>
      <c r="E216" s="211" t="str">
        <f t="shared" si="142"/>
        <v>Dev - Cart confirmation</v>
      </c>
      <c r="F216" s="231" t="s">
        <v>149</v>
      </c>
      <c r="G216" s="36" t="s">
        <v>276</v>
      </c>
      <c r="H216" s="35"/>
      <c r="I216" s="35" t="s">
        <v>132</v>
      </c>
      <c r="J216" s="35" t="s">
        <v>87</v>
      </c>
      <c r="K216" s="159" t="e">
        <f t="shared" si="143"/>
        <v>#N/A</v>
      </c>
      <c r="L216" s="159" t="e">
        <f t="shared" si="144"/>
        <v>#N/A</v>
      </c>
      <c r="M216" s="160">
        <v>1</v>
      </c>
      <c r="N216" s="191">
        <v>3.25</v>
      </c>
      <c r="O216" s="190" t="str">
        <f t="shared" si="58"/>
        <v/>
      </c>
      <c r="P216" s="191">
        <v>4.875</v>
      </c>
      <c r="Q216" s="190" t="str">
        <f t="shared" si="59"/>
        <v/>
      </c>
      <c r="R216" s="191"/>
      <c r="S216" s="190" t="str">
        <f t="shared" si="141"/>
        <v/>
      </c>
      <c r="T216" s="44"/>
    </row>
    <row r="217" spans="1:20" ht="26">
      <c r="A217" s="303"/>
      <c r="B217" s="34" t="s">
        <v>129</v>
      </c>
      <c r="C217" s="35" t="s">
        <v>309</v>
      </c>
      <c r="D217" s="36" t="s">
        <v>24</v>
      </c>
      <c r="E217" s="211" t="str">
        <f t="shared" si="142"/>
        <v>Dev - Cart delivery</v>
      </c>
      <c r="F217" s="231" t="s">
        <v>149</v>
      </c>
      <c r="G217" s="36" t="s">
        <v>277</v>
      </c>
      <c r="H217" s="35"/>
      <c r="I217" s="35" t="s">
        <v>132</v>
      </c>
      <c r="J217" s="35" t="s">
        <v>92</v>
      </c>
      <c r="K217" s="159" t="e">
        <f>IF(NOT(ISBLANK(J217)),VLOOKUP(J217, metrics_lookup_table, 4, FALSE))</f>
        <v>#N/A</v>
      </c>
      <c r="L217" s="159" t="e">
        <f>IF(NOT(ISBLANK(J217)),VLOOKUP(J217, metrics_lookup_table, 5, FALSE))</f>
        <v>#N/A</v>
      </c>
      <c r="M217" s="160">
        <v>1</v>
      </c>
      <c r="N217" s="191">
        <v>6</v>
      </c>
      <c r="O217" s="190" t="str">
        <f t="shared" si="58"/>
        <v/>
      </c>
      <c r="P217" s="191">
        <v>8.375</v>
      </c>
      <c r="Q217" s="190" t="str">
        <f t="shared" si="59"/>
        <v/>
      </c>
      <c r="R217" s="191"/>
      <c r="S217" s="190" t="str">
        <f t="shared" si="141"/>
        <v/>
      </c>
      <c r="T217" s="44"/>
    </row>
    <row r="218" spans="1:20" ht="26">
      <c r="A218" s="303"/>
      <c r="B218" s="34" t="s">
        <v>129</v>
      </c>
      <c r="C218" s="35" t="s">
        <v>309</v>
      </c>
      <c r="D218" s="36" t="s">
        <v>24</v>
      </c>
      <c r="E218" s="211" t="str">
        <f t="shared" si="142"/>
        <v>Dev - Cart details</v>
      </c>
      <c r="F218" s="231" t="s">
        <v>149</v>
      </c>
      <c r="G218" s="36" t="s">
        <v>278</v>
      </c>
      <c r="H218" s="35"/>
      <c r="I218" s="35" t="s">
        <v>132</v>
      </c>
      <c r="J218" s="35" t="s">
        <v>87</v>
      </c>
      <c r="K218" s="159" t="e">
        <f t="shared" si="143"/>
        <v>#N/A</v>
      </c>
      <c r="L218" s="159" t="e">
        <f t="shared" si="144"/>
        <v>#N/A</v>
      </c>
      <c r="M218" s="160">
        <v>1</v>
      </c>
      <c r="N218" s="191">
        <v>3.25</v>
      </c>
      <c r="O218" s="190" t="str">
        <f t="shared" si="58"/>
        <v/>
      </c>
      <c r="P218" s="191">
        <v>4.875</v>
      </c>
      <c r="Q218" s="190" t="str">
        <f t="shared" si="59"/>
        <v/>
      </c>
      <c r="R218" s="191"/>
      <c r="S218" s="190" t="str">
        <f t="shared" si="141"/>
        <v/>
      </c>
      <c r="T218" s="44"/>
    </row>
    <row r="219" spans="1:20">
      <c r="A219" s="303"/>
      <c r="B219" s="34" t="s">
        <v>330</v>
      </c>
      <c r="C219" s="35" t="s">
        <v>309</v>
      </c>
      <c r="D219" s="36" t="s">
        <v>24</v>
      </c>
      <c r="E219" s="211" t="str">
        <f t="shared" si="142"/>
        <v>Dev - Col Control</v>
      </c>
      <c r="F219" s="231" t="s">
        <v>135</v>
      </c>
      <c r="G219" s="36" t="s">
        <v>400</v>
      </c>
      <c r="H219" s="35"/>
      <c r="I219" s="35" t="s">
        <v>132</v>
      </c>
      <c r="J219" s="35" t="s">
        <v>77</v>
      </c>
      <c r="K219" s="159" t="e">
        <f>IF(NOT(ISBLANK(J219)),VLOOKUP(J219, metrics_lookup_table, 4, FALSE))</f>
        <v>#N/A</v>
      </c>
      <c r="L219" s="159" t="e">
        <f>IF(NOT(ISBLANK(J219)),VLOOKUP(J219, metrics_lookup_table, 5, FALSE))</f>
        <v>#N/A</v>
      </c>
      <c r="M219" s="160">
        <v>1</v>
      </c>
      <c r="N219" s="191">
        <v>1.5625</v>
      </c>
      <c r="O219" s="190" t="str">
        <f t="shared" si="58"/>
        <v/>
      </c>
      <c r="P219" s="191">
        <v>2.625</v>
      </c>
      <c r="Q219" s="190" t="str">
        <f t="shared" si="59"/>
        <v/>
      </c>
      <c r="R219" s="191"/>
      <c r="S219" s="190" t="str">
        <f t="shared" si="141"/>
        <v/>
      </c>
      <c r="T219" s="44"/>
    </row>
    <row r="220" spans="1:20" ht="26">
      <c r="A220" s="303"/>
      <c r="B220" s="34" t="s">
        <v>129</v>
      </c>
      <c r="C220" s="35" t="s">
        <v>309</v>
      </c>
      <c r="D220" s="36" t="s">
        <v>24</v>
      </c>
      <c r="E220" s="211" t="str">
        <f t="shared" si="142"/>
        <v>Dev - Compare Panel</v>
      </c>
      <c r="F220" s="231" t="s">
        <v>149</v>
      </c>
      <c r="G220" s="36" t="s">
        <v>401</v>
      </c>
      <c r="H220" s="35"/>
      <c r="I220" s="35" t="s">
        <v>132</v>
      </c>
      <c r="J220" s="35" t="s">
        <v>87</v>
      </c>
      <c r="K220" s="159" t="e">
        <f t="shared" si="143"/>
        <v>#N/A</v>
      </c>
      <c r="L220" s="159" t="e">
        <f t="shared" si="144"/>
        <v>#N/A</v>
      </c>
      <c r="M220" s="160">
        <v>1</v>
      </c>
      <c r="N220" s="191">
        <v>3.25</v>
      </c>
      <c r="O220" s="190" t="str">
        <f t="shared" si="58"/>
        <v/>
      </c>
      <c r="P220" s="191">
        <v>4.875</v>
      </c>
      <c r="Q220" s="190" t="str">
        <f t="shared" si="59"/>
        <v/>
      </c>
      <c r="R220" s="191"/>
      <c r="S220" s="190" t="str">
        <f t="shared" si="141"/>
        <v/>
      </c>
      <c r="T220" s="44"/>
    </row>
    <row r="221" spans="1:20" ht="26">
      <c r="A221" s="303"/>
      <c r="B221" s="34" t="s">
        <v>330</v>
      </c>
      <c r="C221" s="35" t="s">
        <v>309</v>
      </c>
      <c r="D221" s="36" t="s">
        <v>24</v>
      </c>
      <c r="E221" s="211" t="str">
        <f t="shared" si="142"/>
        <v>Dev - Compare Results</v>
      </c>
      <c r="F221" s="231" t="s">
        <v>149</v>
      </c>
      <c r="G221" s="36" t="s">
        <v>402</v>
      </c>
      <c r="H221" s="35"/>
      <c r="I221" s="35" t="s">
        <v>132</v>
      </c>
      <c r="J221" s="35" t="s">
        <v>77</v>
      </c>
      <c r="K221" s="159" t="e">
        <f>IF(NOT(ISBLANK(J221)),VLOOKUP(J221, metrics_lookup_table, 4, FALSE))</f>
        <v>#N/A</v>
      </c>
      <c r="L221" s="159" t="e">
        <f>IF(NOT(ISBLANK(J221)),VLOOKUP(J221, metrics_lookup_table, 5, FALSE))</f>
        <v>#N/A</v>
      </c>
      <c r="M221" s="160">
        <v>1</v>
      </c>
      <c r="N221" s="191">
        <v>1.5625</v>
      </c>
      <c r="O221" s="190" t="str">
        <f t="shared" si="58"/>
        <v/>
      </c>
      <c r="P221" s="191">
        <v>2.625</v>
      </c>
      <c r="Q221" s="190" t="str">
        <f t="shared" si="59"/>
        <v/>
      </c>
      <c r="R221" s="191"/>
      <c r="S221" s="190" t="str">
        <f t="shared" si="141"/>
        <v/>
      </c>
      <c r="T221" s="44"/>
    </row>
    <row r="222" spans="1:20" ht="26">
      <c r="A222" s="303"/>
      <c r="B222" s="34" t="s">
        <v>129</v>
      </c>
      <c r="C222" s="35" t="s">
        <v>309</v>
      </c>
      <c r="D222" s="36" t="s">
        <v>24</v>
      </c>
      <c r="E222" s="211" t="str">
        <f t="shared" si="142"/>
        <v>Dev - Daily Prices</v>
      </c>
      <c r="F222" s="231" t="s">
        <v>149</v>
      </c>
      <c r="G222" s="36" t="s">
        <v>403</v>
      </c>
      <c r="H222" s="35"/>
      <c r="I222" s="35" t="s">
        <v>132</v>
      </c>
      <c r="J222" s="35" t="s">
        <v>87</v>
      </c>
      <c r="K222" s="159" t="e">
        <f t="shared" si="143"/>
        <v>#N/A</v>
      </c>
      <c r="L222" s="159" t="e">
        <f t="shared" si="144"/>
        <v>#N/A</v>
      </c>
      <c r="M222" s="160">
        <v>1</v>
      </c>
      <c r="N222" s="191">
        <v>3.25</v>
      </c>
      <c r="O222" s="190" t="str">
        <f t="shared" si="58"/>
        <v/>
      </c>
      <c r="P222" s="191">
        <v>4.875</v>
      </c>
      <c r="Q222" s="190" t="str">
        <f t="shared" si="59"/>
        <v/>
      </c>
      <c r="R222" s="191"/>
      <c r="S222" s="190" t="str">
        <f t="shared" si="141"/>
        <v/>
      </c>
      <c r="T222" s="44"/>
    </row>
    <row r="223" spans="1:20">
      <c r="A223" s="303"/>
      <c r="B223" s="34" t="s">
        <v>330</v>
      </c>
      <c r="C223" s="35" t="s">
        <v>309</v>
      </c>
      <c r="D223" s="36" t="s">
        <v>24</v>
      </c>
      <c r="E223" s="211" t="str">
        <f t="shared" si="142"/>
        <v>Dev - Footer</v>
      </c>
      <c r="F223" s="231" t="s">
        <v>135</v>
      </c>
      <c r="G223" s="36" t="s">
        <v>404</v>
      </c>
      <c r="H223" s="35"/>
      <c r="I223" s="35" t="s">
        <v>132</v>
      </c>
      <c r="J223" s="35" t="s">
        <v>77</v>
      </c>
      <c r="K223" s="159" t="e">
        <f>IF(NOT(ISBLANK(J223)),VLOOKUP(J223, metrics_lookup_table, 4, FALSE))</f>
        <v>#N/A</v>
      </c>
      <c r="L223" s="159" t="e">
        <f>IF(NOT(ISBLANK(J223)),VLOOKUP(J223, metrics_lookup_table, 5, FALSE))</f>
        <v>#N/A</v>
      </c>
      <c r="M223" s="160">
        <v>1</v>
      </c>
      <c r="N223" s="191">
        <v>1.5625</v>
      </c>
      <c r="O223" s="190" t="str">
        <f t="shared" si="58"/>
        <v/>
      </c>
      <c r="P223" s="191">
        <v>2.625</v>
      </c>
      <c r="Q223" s="190" t="str">
        <f t="shared" si="59"/>
        <v/>
      </c>
      <c r="R223" s="191"/>
      <c r="S223" s="190" t="str">
        <f t="shared" si="141"/>
        <v/>
      </c>
      <c r="T223" s="44"/>
    </row>
    <row r="224" spans="1:20" ht="26">
      <c r="A224" s="303"/>
      <c r="B224" s="34" t="s">
        <v>129</v>
      </c>
      <c r="C224" s="35" t="s">
        <v>309</v>
      </c>
      <c r="D224" s="36" t="s">
        <v>24</v>
      </c>
      <c r="E224" s="211" t="str">
        <f t="shared" si="142"/>
        <v>Dev - Form</v>
      </c>
      <c r="F224" s="231" t="s">
        <v>149</v>
      </c>
      <c r="G224" s="36" t="s">
        <v>405</v>
      </c>
      <c r="H224" s="35"/>
      <c r="I224" s="35" t="s">
        <v>132</v>
      </c>
      <c r="J224" s="35" t="s">
        <v>87</v>
      </c>
      <c r="K224" s="159" t="e">
        <f t="shared" si="143"/>
        <v>#N/A</v>
      </c>
      <c r="L224" s="159" t="e">
        <f t="shared" si="144"/>
        <v>#N/A</v>
      </c>
      <c r="M224" s="160">
        <v>1</v>
      </c>
      <c r="N224" s="191">
        <v>3.25</v>
      </c>
      <c r="O224" s="190" t="str">
        <f t="shared" si="58"/>
        <v/>
      </c>
      <c r="P224" s="191">
        <v>4.875</v>
      </c>
      <c r="Q224" s="190" t="str">
        <f t="shared" si="59"/>
        <v/>
      </c>
      <c r="R224" s="191"/>
      <c r="S224" s="190" t="str">
        <f t="shared" si="141"/>
        <v/>
      </c>
      <c r="T224" s="44"/>
    </row>
    <row r="225" spans="1:20" ht="26">
      <c r="A225" s="303"/>
      <c r="B225" s="34" t="s">
        <v>330</v>
      </c>
      <c r="C225" s="35" t="s">
        <v>309</v>
      </c>
      <c r="D225" s="36" t="s">
        <v>24</v>
      </c>
      <c r="E225" s="211" t="str">
        <f t="shared" si="142"/>
        <v>Dev - Fund Basics</v>
      </c>
      <c r="F225" s="231" t="s">
        <v>149</v>
      </c>
      <c r="G225" s="36" t="s">
        <v>406</v>
      </c>
      <c r="H225" s="35"/>
      <c r="I225" s="35" t="s">
        <v>132</v>
      </c>
      <c r="J225" s="35" t="s">
        <v>77</v>
      </c>
      <c r="K225" s="159" t="e">
        <f>IF(NOT(ISBLANK(J225)),VLOOKUP(J225, metrics_lookup_table, 4, FALSE))</f>
        <v>#N/A</v>
      </c>
      <c r="L225" s="159" t="e">
        <f>IF(NOT(ISBLANK(J225)),VLOOKUP(J225, metrics_lookup_table, 5, FALSE))</f>
        <v>#N/A</v>
      </c>
      <c r="M225" s="160">
        <v>1</v>
      </c>
      <c r="N225" s="191">
        <v>1.5625</v>
      </c>
      <c r="O225" s="190" t="str">
        <f t="shared" si="58"/>
        <v/>
      </c>
      <c r="P225" s="191">
        <v>2.625</v>
      </c>
      <c r="Q225" s="190" t="str">
        <f t="shared" si="59"/>
        <v/>
      </c>
      <c r="R225" s="191"/>
      <c r="S225" s="190" t="str">
        <f t="shared" si="141"/>
        <v/>
      </c>
      <c r="T225" s="44"/>
    </row>
    <row r="226" spans="1:20">
      <c r="A226" s="303"/>
      <c r="B226" s="34" t="s">
        <v>330</v>
      </c>
      <c r="C226" s="35" t="s">
        <v>309</v>
      </c>
      <c r="D226" s="36" t="s">
        <v>24</v>
      </c>
      <c r="E226" s="211" t="str">
        <f t="shared" si="142"/>
        <v>Dev - Fund Information Pane</v>
      </c>
      <c r="F226" s="231" t="s">
        <v>135</v>
      </c>
      <c r="G226" s="36" t="s">
        <v>407</v>
      </c>
      <c r="H226" s="35"/>
      <c r="I226" s="35" t="s">
        <v>132</v>
      </c>
      <c r="J226" s="35" t="s">
        <v>77</v>
      </c>
      <c r="K226" s="159" t="e">
        <f>IF(NOT(ISBLANK(J226)),VLOOKUP(J226, metrics_lookup_table, 4, FALSE))</f>
        <v>#N/A</v>
      </c>
      <c r="L226" s="159" t="e">
        <f>IF(NOT(ISBLANK(J226)),VLOOKUP(J226, metrics_lookup_table, 5, FALSE))</f>
        <v>#N/A</v>
      </c>
      <c r="M226" s="160">
        <v>1</v>
      </c>
      <c r="N226" s="191">
        <v>1.5625</v>
      </c>
      <c r="O226" s="190" t="str">
        <f t="shared" si="58"/>
        <v/>
      </c>
      <c r="P226" s="191">
        <v>2.625</v>
      </c>
      <c r="Q226" s="190" t="str">
        <f t="shared" si="59"/>
        <v/>
      </c>
      <c r="R226" s="191"/>
      <c r="S226" s="190" t="str">
        <f t="shared" si="141"/>
        <v/>
      </c>
      <c r="T226" s="44"/>
    </row>
    <row r="227" spans="1:20" ht="26">
      <c r="A227" s="303"/>
      <c r="B227" s="34" t="s">
        <v>129</v>
      </c>
      <c r="C227" s="35" t="s">
        <v>309</v>
      </c>
      <c r="D227" s="36" t="s">
        <v>24</v>
      </c>
      <c r="E227" s="211" t="str">
        <f t="shared" si="142"/>
        <v>Dev - Fund List</v>
      </c>
      <c r="F227" s="231" t="s">
        <v>149</v>
      </c>
      <c r="G227" s="36" t="s">
        <v>279</v>
      </c>
      <c r="H227" s="35"/>
      <c r="I227" s="35" t="s">
        <v>132</v>
      </c>
      <c r="J227" s="35" t="s">
        <v>87</v>
      </c>
      <c r="K227" s="159" t="e">
        <f t="shared" si="143"/>
        <v>#N/A</v>
      </c>
      <c r="L227" s="159" t="e">
        <f t="shared" si="144"/>
        <v>#N/A</v>
      </c>
      <c r="M227" s="160">
        <v>1</v>
      </c>
      <c r="N227" s="191">
        <v>3.25</v>
      </c>
      <c r="O227" s="190" t="str">
        <f t="shared" si="58"/>
        <v/>
      </c>
      <c r="P227" s="191">
        <v>4.875</v>
      </c>
      <c r="Q227" s="190" t="str">
        <f t="shared" si="59"/>
        <v/>
      </c>
      <c r="R227" s="191"/>
      <c r="S227" s="190" t="str">
        <f t="shared" si="141"/>
        <v/>
      </c>
      <c r="T227" s="44"/>
    </row>
    <row r="228" spans="1:20">
      <c r="A228" s="303"/>
      <c r="B228" s="34" t="s">
        <v>129</v>
      </c>
      <c r="C228" s="35" t="s">
        <v>309</v>
      </c>
      <c r="D228" s="36" t="s">
        <v>24</v>
      </c>
      <c r="E228" s="211" t="str">
        <f t="shared" si="142"/>
        <v>Dev - Fund Navigation Pane</v>
      </c>
      <c r="F228" s="231" t="s">
        <v>135</v>
      </c>
      <c r="G228" s="36" t="s">
        <v>408</v>
      </c>
      <c r="H228" s="35"/>
      <c r="I228" s="35" t="s">
        <v>132</v>
      </c>
      <c r="J228" s="35" t="s">
        <v>87</v>
      </c>
      <c r="K228" s="159" t="e">
        <f t="shared" si="143"/>
        <v>#N/A</v>
      </c>
      <c r="L228" s="159" t="e">
        <f t="shared" si="144"/>
        <v>#N/A</v>
      </c>
      <c r="M228" s="160">
        <v>1</v>
      </c>
      <c r="N228" s="191">
        <v>3.25</v>
      </c>
      <c r="O228" s="190" t="str">
        <f t="shared" si="58"/>
        <v/>
      </c>
      <c r="P228" s="191">
        <v>4.875</v>
      </c>
      <c r="Q228" s="190" t="str">
        <f t="shared" si="59"/>
        <v/>
      </c>
      <c r="R228" s="191"/>
      <c r="S228" s="190" t="str">
        <f t="shared" si="141"/>
        <v/>
      </c>
      <c r="T228" s="44"/>
    </row>
    <row r="229" spans="1:20" ht="26">
      <c r="A229" s="303"/>
      <c r="B229" s="34"/>
      <c r="C229" s="35" t="s">
        <v>309</v>
      </c>
      <c r="D229" s="36" t="s">
        <v>24</v>
      </c>
      <c r="E229" s="211" t="str">
        <f t="shared" si="142"/>
        <v>Dev - Funds List</v>
      </c>
      <c r="F229" s="231" t="s">
        <v>149</v>
      </c>
      <c r="G229" s="36" t="s">
        <v>409</v>
      </c>
      <c r="H229" s="35"/>
      <c r="I229" s="272" t="s">
        <v>137</v>
      </c>
      <c r="J229" s="35" t="s">
        <v>77</v>
      </c>
      <c r="K229" s="159" t="e">
        <f>IF(NOT(ISBLANK(J229)),VLOOKUP(J229, metrics_lookup_table, 4, FALSE))</f>
        <v>#N/A</v>
      </c>
      <c r="L229" s="159" t="e">
        <f>IF(NOT(ISBLANK(J229)),VLOOKUP(J229, metrics_lookup_table, 5, FALSE))</f>
        <v>#N/A</v>
      </c>
      <c r="M229" s="160">
        <v>1</v>
      </c>
      <c r="N229" s="191">
        <v>1.5625</v>
      </c>
      <c r="O229" s="190" t="str">
        <f t="shared" si="58"/>
        <v/>
      </c>
      <c r="P229" s="191">
        <v>2.625</v>
      </c>
      <c r="Q229" s="190" t="str">
        <f t="shared" si="59"/>
        <v/>
      </c>
      <c r="R229" s="191"/>
      <c r="S229" s="190" t="str">
        <f t="shared" si="141"/>
        <v/>
      </c>
      <c r="T229" s="232" t="s">
        <v>410</v>
      </c>
    </row>
    <row r="230" spans="1:20" ht="26">
      <c r="A230" s="303"/>
      <c r="B230" s="34" t="s">
        <v>129</v>
      </c>
      <c r="C230" s="35" t="s">
        <v>309</v>
      </c>
      <c r="D230" s="36" t="s">
        <v>24</v>
      </c>
      <c r="E230" s="211" t="str">
        <f t="shared" si="142"/>
        <v>Dev - Funds Module</v>
      </c>
      <c r="F230" s="231" t="s">
        <v>149</v>
      </c>
      <c r="G230" s="36" t="s">
        <v>411</v>
      </c>
      <c r="H230" s="35"/>
      <c r="I230" s="35" t="s">
        <v>132</v>
      </c>
      <c r="J230" s="35" t="s">
        <v>87</v>
      </c>
      <c r="K230" s="159" t="e">
        <f t="shared" si="143"/>
        <v>#N/A</v>
      </c>
      <c r="L230" s="159" t="e">
        <f t="shared" si="144"/>
        <v>#N/A</v>
      </c>
      <c r="M230" s="160">
        <v>1</v>
      </c>
      <c r="N230" s="191">
        <v>3.25</v>
      </c>
      <c r="O230" s="190" t="str">
        <f t="shared" si="58"/>
        <v/>
      </c>
      <c r="P230" s="191">
        <v>4.875</v>
      </c>
      <c r="Q230" s="190" t="str">
        <f t="shared" si="59"/>
        <v/>
      </c>
      <c r="R230" s="191"/>
      <c r="S230" s="190" t="str">
        <f t="shared" si="141"/>
        <v/>
      </c>
      <c r="T230" s="44"/>
    </row>
    <row r="231" spans="1:20">
      <c r="A231" s="303"/>
      <c r="B231" s="34" t="s">
        <v>330</v>
      </c>
      <c r="C231" s="35" t="s">
        <v>309</v>
      </c>
      <c r="D231" s="36" t="s">
        <v>24</v>
      </c>
      <c r="E231" s="211" t="str">
        <f t="shared" si="142"/>
        <v>Dev - Funds Navigation Tabs</v>
      </c>
      <c r="F231" s="231" t="s">
        <v>135</v>
      </c>
      <c r="G231" s="36" t="s">
        <v>412</v>
      </c>
      <c r="H231" s="35"/>
      <c r="I231" s="35" t="s">
        <v>132</v>
      </c>
      <c r="J231" s="35" t="s">
        <v>77</v>
      </c>
      <c r="K231" s="159" t="e">
        <f>IF(NOT(ISBLANK(J231)),VLOOKUP(J231, metrics_lookup_table, 4, FALSE))</f>
        <v>#N/A</v>
      </c>
      <c r="L231" s="159" t="e">
        <f>IF(NOT(ISBLANK(J231)),VLOOKUP(J231, metrics_lookup_table, 5, FALSE))</f>
        <v>#N/A</v>
      </c>
      <c r="M231" s="160">
        <v>1</v>
      </c>
      <c r="N231" s="191">
        <v>1.5625</v>
      </c>
      <c r="O231" s="190" t="str">
        <f t="shared" si="58"/>
        <v/>
      </c>
      <c r="P231" s="191">
        <v>2.625</v>
      </c>
      <c r="Q231" s="190" t="str">
        <f t="shared" si="59"/>
        <v/>
      </c>
      <c r="R231" s="191"/>
      <c r="S231" s="190" t="str">
        <f t="shared" si="141"/>
        <v/>
      </c>
      <c r="T231" s="44"/>
    </row>
    <row r="232" spans="1:20">
      <c r="A232" s="303"/>
      <c r="B232" s="34" t="s">
        <v>129</v>
      </c>
      <c r="C232" s="35" t="s">
        <v>309</v>
      </c>
      <c r="D232" s="36" t="s">
        <v>24</v>
      </c>
      <c r="E232" s="211" t="str">
        <f t="shared" si="142"/>
        <v>Dev - Growth of $10,000</v>
      </c>
      <c r="F232" s="231" t="s">
        <v>135</v>
      </c>
      <c r="G232" s="36" t="s">
        <v>413</v>
      </c>
      <c r="H232" s="35"/>
      <c r="I232" s="35" t="s">
        <v>132</v>
      </c>
      <c r="J232" s="35" t="s">
        <v>92</v>
      </c>
      <c r="K232" s="159" t="e">
        <f>IF(NOT(ISBLANK(J232)),VLOOKUP(J232, metrics_lookup_table, 4, FALSE))</f>
        <v>#N/A</v>
      </c>
      <c r="L232" s="159" t="e">
        <f>IF(NOT(ISBLANK(J232)),VLOOKUP(J232, metrics_lookup_table, 5, FALSE))</f>
        <v>#N/A</v>
      </c>
      <c r="M232" s="160">
        <v>1</v>
      </c>
      <c r="N232" s="191">
        <v>6</v>
      </c>
      <c r="O232" s="190" t="str">
        <f t="shared" si="58"/>
        <v/>
      </c>
      <c r="P232" s="191">
        <v>8.375</v>
      </c>
      <c r="Q232" s="190" t="str">
        <f t="shared" si="59"/>
        <v/>
      </c>
      <c r="R232" s="191"/>
      <c r="S232" s="190" t="str">
        <f t="shared" si="141"/>
        <v/>
      </c>
      <c r="T232" s="44"/>
    </row>
    <row r="233" spans="1:20" ht="26">
      <c r="A233" s="303"/>
      <c r="B233" s="34" t="s">
        <v>330</v>
      </c>
      <c r="C233" s="35" t="s">
        <v>309</v>
      </c>
      <c r="D233" s="36" t="s">
        <v>24</v>
      </c>
      <c r="E233" s="211" t="str">
        <f t="shared" si="142"/>
        <v>Dev - Highlights</v>
      </c>
      <c r="F233" s="231" t="s">
        <v>149</v>
      </c>
      <c r="G233" s="36" t="s">
        <v>414</v>
      </c>
      <c r="H233" s="35"/>
      <c r="I233" s="35" t="s">
        <v>132</v>
      </c>
      <c r="J233" s="35" t="s">
        <v>77</v>
      </c>
      <c r="K233" s="159" t="e">
        <f>IF(NOT(ISBLANK(J233)),VLOOKUP(J233, metrics_lookup_table, 4, FALSE))</f>
        <v>#N/A</v>
      </c>
      <c r="L233" s="159" t="e">
        <f>IF(NOT(ISBLANK(J233)),VLOOKUP(J233, metrics_lookup_table, 5, FALSE))</f>
        <v>#N/A</v>
      </c>
      <c r="M233" s="160">
        <v>2</v>
      </c>
      <c r="N233" s="191">
        <v>1.5625</v>
      </c>
      <c r="O233" s="190" t="str">
        <f t="shared" si="58"/>
        <v/>
      </c>
      <c r="P233" s="191">
        <v>2.625</v>
      </c>
      <c r="Q233" s="190" t="str">
        <f t="shared" si="59"/>
        <v/>
      </c>
      <c r="R233" s="191"/>
      <c r="S233" s="190" t="str">
        <f t="shared" si="141"/>
        <v/>
      </c>
      <c r="T233" s="44"/>
    </row>
    <row r="234" spans="1:20">
      <c r="A234" s="303"/>
      <c r="B234" s="34" t="s">
        <v>129</v>
      </c>
      <c r="C234" s="35" t="s">
        <v>309</v>
      </c>
      <c r="D234" s="36" t="s">
        <v>24</v>
      </c>
      <c r="E234" s="211" t="str">
        <f t="shared" si="142"/>
        <v>Dev - Holdings Characteristics</v>
      </c>
      <c r="F234" s="231" t="s">
        <v>135</v>
      </c>
      <c r="G234" s="36" t="s">
        <v>415</v>
      </c>
      <c r="H234" s="35"/>
      <c r="I234" s="35" t="s">
        <v>132</v>
      </c>
      <c r="J234" s="35" t="s">
        <v>87</v>
      </c>
      <c r="K234" s="159" t="e">
        <f t="shared" si="143"/>
        <v>#N/A</v>
      </c>
      <c r="L234" s="159" t="e">
        <f t="shared" si="144"/>
        <v>#N/A</v>
      </c>
      <c r="M234" s="160">
        <v>1</v>
      </c>
      <c r="N234" s="191">
        <v>3.25</v>
      </c>
      <c r="O234" s="190" t="str">
        <f t="shared" si="58"/>
        <v/>
      </c>
      <c r="P234" s="191">
        <v>4.875</v>
      </c>
      <c r="Q234" s="190" t="str">
        <f t="shared" si="59"/>
        <v/>
      </c>
      <c r="R234" s="191"/>
      <c r="S234" s="190" t="str">
        <f t="shared" si="141"/>
        <v/>
      </c>
      <c r="T234" s="44"/>
    </row>
    <row r="235" spans="1:20" ht="26">
      <c r="A235" s="303"/>
      <c r="B235" s="34" t="s">
        <v>330</v>
      </c>
      <c r="C235" s="35" t="s">
        <v>309</v>
      </c>
      <c r="D235" s="36" t="s">
        <v>24</v>
      </c>
      <c r="E235" s="211" t="str">
        <f t="shared" si="142"/>
        <v>Dev - Individual Fund Options</v>
      </c>
      <c r="F235" s="231" t="s">
        <v>149</v>
      </c>
      <c r="G235" s="36" t="s">
        <v>416</v>
      </c>
      <c r="H235" s="35"/>
      <c r="I235" s="35" t="s">
        <v>132</v>
      </c>
      <c r="J235" s="35" t="s">
        <v>77</v>
      </c>
      <c r="K235" s="159" t="e">
        <f>IF(NOT(ISBLANK(J235)),VLOOKUP(J235, metrics_lookup_table, 4, FALSE))</f>
        <v>#N/A</v>
      </c>
      <c r="L235" s="159" t="e">
        <f>IF(NOT(ISBLANK(J235)),VLOOKUP(J235, metrics_lookup_table, 5, FALSE))</f>
        <v>#N/A</v>
      </c>
      <c r="M235" s="160">
        <v>1</v>
      </c>
      <c r="N235" s="191">
        <v>1.5625</v>
      </c>
      <c r="O235" s="190" t="str">
        <f t="shared" si="58"/>
        <v/>
      </c>
      <c r="P235" s="191">
        <v>2.625</v>
      </c>
      <c r="Q235" s="190" t="str">
        <f t="shared" si="59"/>
        <v/>
      </c>
      <c r="R235" s="191"/>
      <c r="S235" s="190" t="str">
        <f t="shared" si="141"/>
        <v/>
      </c>
      <c r="T235" s="44"/>
    </row>
    <row r="236" spans="1:20" ht="26">
      <c r="A236" s="303"/>
      <c r="B236" s="34" t="s">
        <v>330</v>
      </c>
      <c r="C236" s="35" t="s">
        <v>309</v>
      </c>
      <c r="D236" s="36" t="s">
        <v>24</v>
      </c>
      <c r="E236" s="211" t="str">
        <f t="shared" si="142"/>
        <v xml:space="preserve">Dev - Insights </v>
      </c>
      <c r="F236" s="231" t="s">
        <v>149</v>
      </c>
      <c r="G236" s="36" t="s">
        <v>417</v>
      </c>
      <c r="H236" s="35"/>
      <c r="I236" s="35" t="s">
        <v>132</v>
      </c>
      <c r="J236" s="35" t="s">
        <v>77</v>
      </c>
      <c r="K236" s="159" t="e">
        <f>IF(NOT(ISBLANK(J236)),VLOOKUP(J236, metrics_lookup_table, 4, FALSE))</f>
        <v>#N/A</v>
      </c>
      <c r="L236" s="159" t="e">
        <f>IF(NOT(ISBLANK(J236)),VLOOKUP(J236, metrics_lookup_table, 5, FALSE))</f>
        <v>#N/A</v>
      </c>
      <c r="M236" s="160">
        <v>1</v>
      </c>
      <c r="N236" s="191">
        <v>1.5625</v>
      </c>
      <c r="O236" s="190" t="str">
        <f t="shared" si="58"/>
        <v/>
      </c>
      <c r="P236" s="191">
        <v>2.625</v>
      </c>
      <c r="Q236" s="190" t="str">
        <f t="shared" si="59"/>
        <v/>
      </c>
      <c r="R236" s="191"/>
      <c r="S236" s="190" t="str">
        <f t="shared" si="141"/>
        <v/>
      </c>
      <c r="T236" s="44"/>
    </row>
    <row r="237" spans="1:20">
      <c r="A237" s="303"/>
      <c r="B237" s="34" t="s">
        <v>129</v>
      </c>
      <c r="C237" s="35" t="s">
        <v>309</v>
      </c>
      <c r="D237" s="36" t="s">
        <v>24</v>
      </c>
      <c r="E237" s="211" t="str">
        <f t="shared" si="142"/>
        <v>Dev - Insights &amp; Research</v>
      </c>
      <c r="F237" s="231" t="s">
        <v>135</v>
      </c>
      <c r="G237" s="36" t="s">
        <v>418</v>
      </c>
      <c r="H237" s="35"/>
      <c r="I237" s="35" t="s">
        <v>132</v>
      </c>
      <c r="J237" s="35" t="s">
        <v>87</v>
      </c>
      <c r="K237" s="159" t="e">
        <f t="shared" si="143"/>
        <v>#N/A</v>
      </c>
      <c r="L237" s="159" t="e">
        <f t="shared" si="144"/>
        <v>#N/A</v>
      </c>
      <c r="M237" s="160">
        <v>1</v>
      </c>
      <c r="N237" s="191">
        <v>3.25</v>
      </c>
      <c r="O237" s="190" t="str">
        <f t="shared" si="58"/>
        <v/>
      </c>
      <c r="P237" s="191">
        <v>4.875</v>
      </c>
      <c r="Q237" s="190" t="str">
        <f t="shared" si="59"/>
        <v/>
      </c>
      <c r="R237" s="191"/>
      <c r="S237" s="190" t="str">
        <f t="shared" si="141"/>
        <v/>
      </c>
      <c r="T237" s="44"/>
    </row>
    <row r="238" spans="1:20">
      <c r="A238" s="303"/>
      <c r="B238" s="34" t="s">
        <v>129</v>
      </c>
      <c r="C238" s="35" t="s">
        <v>309</v>
      </c>
      <c r="D238" s="36" t="s">
        <v>24</v>
      </c>
      <c r="E238" s="211" t="str">
        <f t="shared" si="142"/>
        <v>Dev - Literature List</v>
      </c>
      <c r="F238" s="231" t="s">
        <v>135</v>
      </c>
      <c r="G238" s="36" t="s">
        <v>419</v>
      </c>
      <c r="H238" s="35"/>
      <c r="I238" s="35" t="s">
        <v>132</v>
      </c>
      <c r="J238" s="35" t="s">
        <v>87</v>
      </c>
      <c r="K238" s="159" t="e">
        <f t="shared" si="143"/>
        <v>#N/A</v>
      </c>
      <c r="L238" s="159" t="e">
        <f t="shared" si="144"/>
        <v>#N/A</v>
      </c>
      <c r="M238" s="160">
        <v>1</v>
      </c>
      <c r="N238" s="191">
        <v>3.25</v>
      </c>
      <c r="O238" s="190" t="str">
        <f t="shared" si="58"/>
        <v/>
      </c>
      <c r="P238" s="191">
        <v>4.875</v>
      </c>
      <c r="Q238" s="190" t="str">
        <f t="shared" si="59"/>
        <v/>
      </c>
      <c r="R238" s="191"/>
      <c r="S238" s="190" t="str">
        <f t="shared" si="141"/>
        <v/>
      </c>
      <c r="T238" s="44"/>
    </row>
    <row r="239" spans="1:20" ht="26">
      <c r="A239" s="303"/>
      <c r="B239" s="34" t="s">
        <v>330</v>
      </c>
      <c r="C239" s="35" t="s">
        <v>309</v>
      </c>
      <c r="D239" s="36" t="s">
        <v>24</v>
      </c>
      <c r="E239" s="211" t="str">
        <f t="shared" si="142"/>
        <v>Dev - Logo</v>
      </c>
      <c r="F239" s="231" t="s">
        <v>149</v>
      </c>
      <c r="G239" s="36" t="s">
        <v>420</v>
      </c>
      <c r="H239" s="35"/>
      <c r="I239" s="35" t="s">
        <v>132</v>
      </c>
      <c r="J239" s="35" t="s">
        <v>77</v>
      </c>
      <c r="K239" s="159" t="e">
        <f>IF(NOT(ISBLANK(J239)),VLOOKUP(J239, metrics_lookup_table, 4, FALSE))</f>
        <v>#N/A</v>
      </c>
      <c r="L239" s="159" t="e">
        <f>IF(NOT(ISBLANK(J239)),VLOOKUP(J239, metrics_lookup_table, 5, FALSE))</f>
        <v>#N/A</v>
      </c>
      <c r="M239" s="160">
        <v>1</v>
      </c>
      <c r="N239" s="191">
        <v>1.5625</v>
      </c>
      <c r="O239" s="190" t="str">
        <f t="shared" si="58"/>
        <v/>
      </c>
      <c r="P239" s="191">
        <v>2.625</v>
      </c>
      <c r="Q239" s="190" t="str">
        <f t="shared" si="59"/>
        <v/>
      </c>
      <c r="R239" s="191"/>
      <c r="S239" s="190" t="str">
        <f t="shared" si="141"/>
        <v/>
      </c>
      <c r="T239" s="44"/>
    </row>
    <row r="240" spans="1:20">
      <c r="A240" s="303"/>
      <c r="B240" s="34" t="s">
        <v>129</v>
      </c>
      <c r="C240" s="35" t="s">
        <v>309</v>
      </c>
      <c r="D240" s="36" t="s">
        <v>24</v>
      </c>
      <c r="E240" s="211" t="str">
        <f t="shared" si="142"/>
        <v>Dev - Market Cap Distribution</v>
      </c>
      <c r="F240" s="231" t="s">
        <v>135</v>
      </c>
      <c r="G240" s="36" t="s">
        <v>421</v>
      </c>
      <c r="H240" s="35"/>
      <c r="I240" s="35" t="s">
        <v>132</v>
      </c>
      <c r="J240" s="35" t="s">
        <v>87</v>
      </c>
      <c r="K240" s="159" t="e">
        <f t="shared" si="143"/>
        <v>#N/A</v>
      </c>
      <c r="L240" s="159" t="e">
        <f t="shared" si="144"/>
        <v>#N/A</v>
      </c>
      <c r="M240" s="160">
        <v>1</v>
      </c>
      <c r="N240" s="191">
        <v>3.25</v>
      </c>
      <c r="O240" s="190" t="str">
        <f t="shared" si="58"/>
        <v/>
      </c>
      <c r="P240" s="191">
        <v>4.875</v>
      </c>
      <c r="Q240" s="190" t="str">
        <f t="shared" si="59"/>
        <v/>
      </c>
      <c r="R240" s="191"/>
      <c r="S240" s="190" t="str">
        <f t="shared" si="141"/>
        <v/>
      </c>
      <c r="T240" s="44"/>
    </row>
    <row r="241" spans="1:20" ht="26">
      <c r="A241" s="303"/>
      <c r="B241" s="34" t="s">
        <v>129</v>
      </c>
      <c r="C241" s="35" t="s">
        <v>309</v>
      </c>
      <c r="D241" s="36" t="s">
        <v>24</v>
      </c>
      <c r="E241" s="211" t="str">
        <f t="shared" si="142"/>
        <v>Dev - Performance</v>
      </c>
      <c r="F241" s="231" t="s">
        <v>149</v>
      </c>
      <c r="G241" s="36" t="s">
        <v>29</v>
      </c>
      <c r="H241" s="35"/>
      <c r="I241" s="35" t="s">
        <v>132</v>
      </c>
      <c r="J241" s="35" t="s">
        <v>87</v>
      </c>
      <c r="K241" s="159" t="e">
        <f t="shared" si="143"/>
        <v>#N/A</v>
      </c>
      <c r="L241" s="159" t="e">
        <f t="shared" si="144"/>
        <v>#N/A</v>
      </c>
      <c r="M241" s="160">
        <v>1</v>
      </c>
      <c r="N241" s="191">
        <v>3.25</v>
      </c>
      <c r="O241" s="190" t="str">
        <f t="shared" si="58"/>
        <v/>
      </c>
      <c r="P241" s="191">
        <v>4.875</v>
      </c>
      <c r="Q241" s="190" t="str">
        <f t="shared" si="59"/>
        <v/>
      </c>
      <c r="R241" s="191"/>
      <c r="S241" s="190" t="str">
        <f t="shared" si="141"/>
        <v/>
      </c>
      <c r="T241" s="44"/>
    </row>
    <row r="242" spans="1:20" ht="26">
      <c r="A242" s="303"/>
      <c r="B242" s="34" t="s">
        <v>330</v>
      </c>
      <c r="C242" s="35" t="s">
        <v>309</v>
      </c>
      <c r="D242" s="36" t="s">
        <v>24</v>
      </c>
      <c r="E242" s="211" t="str">
        <f t="shared" si="142"/>
        <v>Dev - Phone</v>
      </c>
      <c r="F242" s="231" t="s">
        <v>149</v>
      </c>
      <c r="G242" s="36" t="s">
        <v>422</v>
      </c>
      <c r="H242" s="35"/>
      <c r="I242" s="35" t="s">
        <v>132</v>
      </c>
      <c r="J242" s="35" t="s">
        <v>77</v>
      </c>
      <c r="K242" s="159" t="e">
        <f>IF(NOT(ISBLANK(J242)),VLOOKUP(J242, metrics_lookup_table, 4, FALSE))</f>
        <v>#N/A</v>
      </c>
      <c r="L242" s="159" t="e">
        <f>IF(NOT(ISBLANK(J242)),VLOOKUP(J242, metrics_lookup_table, 5, FALSE))</f>
        <v>#N/A</v>
      </c>
      <c r="M242" s="160">
        <v>1</v>
      </c>
      <c r="N242" s="191">
        <v>1.5625</v>
      </c>
      <c r="O242" s="190" t="str">
        <f t="shared" si="58"/>
        <v/>
      </c>
      <c r="P242" s="191">
        <v>2.625</v>
      </c>
      <c r="Q242" s="190" t="str">
        <f t="shared" si="59"/>
        <v/>
      </c>
      <c r="R242" s="191"/>
      <c r="S242" s="190" t="str">
        <f t="shared" si="141"/>
        <v/>
      </c>
      <c r="T242" s="44"/>
    </row>
    <row r="243" spans="1:20" ht="26">
      <c r="A243" s="303"/>
      <c r="B243" s="34" t="s">
        <v>330</v>
      </c>
      <c r="C243" s="35" t="s">
        <v>309</v>
      </c>
      <c r="D243" s="36" t="s">
        <v>24</v>
      </c>
      <c r="E243" s="211" t="str">
        <f t="shared" si="142"/>
        <v>Dev - PlanOverview</v>
      </c>
      <c r="F243" s="231" t="s">
        <v>149</v>
      </c>
      <c r="G243" s="36" t="s">
        <v>423</v>
      </c>
      <c r="H243" s="35"/>
      <c r="I243" s="35" t="s">
        <v>132</v>
      </c>
      <c r="J243" s="35" t="s">
        <v>77</v>
      </c>
      <c r="K243" s="159" t="e">
        <f>IF(NOT(ISBLANK(J243)),VLOOKUP(J243, metrics_lookup_table, 4, FALSE))</f>
        <v>#N/A</v>
      </c>
      <c r="L243" s="159" t="e">
        <f>IF(NOT(ISBLANK(J243)),VLOOKUP(J243, metrics_lookup_table, 5, FALSE))</f>
        <v>#N/A</v>
      </c>
      <c r="M243" s="160">
        <v>1</v>
      </c>
      <c r="N243" s="191">
        <v>1.5625</v>
      </c>
      <c r="O243" s="190" t="str">
        <f t="shared" si="58"/>
        <v/>
      </c>
      <c r="P243" s="191">
        <v>2.625</v>
      </c>
      <c r="Q243" s="190" t="str">
        <f t="shared" si="59"/>
        <v/>
      </c>
      <c r="R243" s="191"/>
      <c r="S243" s="190" t="str">
        <f t="shared" si="141"/>
        <v/>
      </c>
      <c r="T243" s="44"/>
    </row>
    <row r="244" spans="1:20">
      <c r="A244" s="303"/>
      <c r="B244" s="34" t="s">
        <v>129</v>
      </c>
      <c r="C244" s="35" t="s">
        <v>309</v>
      </c>
      <c r="D244" s="36" t="s">
        <v>24</v>
      </c>
      <c r="E244" s="211" t="str">
        <f t="shared" si="142"/>
        <v>Dev - Portfolio Management</v>
      </c>
      <c r="F244" s="231" t="s">
        <v>135</v>
      </c>
      <c r="G244" s="36" t="s">
        <v>424</v>
      </c>
      <c r="H244" s="35"/>
      <c r="I244" s="35" t="s">
        <v>132</v>
      </c>
      <c r="J244" s="35" t="s">
        <v>87</v>
      </c>
      <c r="K244" s="159" t="e">
        <f t="shared" si="143"/>
        <v>#N/A</v>
      </c>
      <c r="L244" s="159" t="e">
        <f t="shared" si="144"/>
        <v>#N/A</v>
      </c>
      <c r="M244" s="160">
        <v>1</v>
      </c>
      <c r="N244" s="191">
        <v>3.25</v>
      </c>
      <c r="O244" s="190" t="str">
        <f t="shared" si="58"/>
        <v/>
      </c>
      <c r="P244" s="191">
        <v>4.875</v>
      </c>
      <c r="Q244" s="190" t="str">
        <f t="shared" si="59"/>
        <v/>
      </c>
      <c r="R244" s="191"/>
      <c r="S244" s="190" t="str">
        <f t="shared" si="141"/>
        <v/>
      </c>
      <c r="T244" s="44"/>
    </row>
    <row r="245" spans="1:20" ht="26">
      <c r="A245" s="303"/>
      <c r="B245" s="34" t="s">
        <v>330</v>
      </c>
      <c r="C245" s="35" t="s">
        <v>309</v>
      </c>
      <c r="D245" s="36" t="s">
        <v>24</v>
      </c>
      <c r="E245" s="211" t="str">
        <f t="shared" si="142"/>
        <v>Dev - Press &amp; News</v>
      </c>
      <c r="F245" s="231" t="s">
        <v>149</v>
      </c>
      <c r="G245" s="36" t="s">
        <v>425</v>
      </c>
      <c r="H245" s="35"/>
      <c r="I245" s="35" t="s">
        <v>132</v>
      </c>
      <c r="J245" s="35" t="s">
        <v>77</v>
      </c>
      <c r="K245" s="159" t="e">
        <f>IF(NOT(ISBLANK(J245)),VLOOKUP(J245, metrics_lookup_table, 4, FALSE))</f>
        <v>#N/A</v>
      </c>
      <c r="L245" s="159" t="e">
        <f>IF(NOT(ISBLANK(J245)),VLOOKUP(J245, metrics_lookup_table, 5, FALSE))</f>
        <v>#N/A</v>
      </c>
      <c r="M245" s="160">
        <v>1</v>
      </c>
      <c r="N245" s="191">
        <v>1.5625</v>
      </c>
      <c r="O245" s="190" t="str">
        <f t="shared" si="58"/>
        <v/>
      </c>
      <c r="P245" s="191">
        <v>2.625</v>
      </c>
      <c r="Q245" s="190" t="str">
        <f t="shared" si="59"/>
        <v/>
      </c>
      <c r="R245" s="191"/>
      <c r="S245" s="190" t="str">
        <f t="shared" si="141"/>
        <v/>
      </c>
      <c r="T245" s="44"/>
    </row>
    <row r="246" spans="1:20" ht="26">
      <c r="A246" s="303"/>
      <c r="B246" s="34" t="s">
        <v>330</v>
      </c>
      <c r="C246" s="35" t="s">
        <v>309</v>
      </c>
      <c r="D246" s="36" t="s">
        <v>24</v>
      </c>
      <c r="E246" s="211" t="str">
        <f t="shared" si="142"/>
        <v>Dev - Print and Share</v>
      </c>
      <c r="F246" s="231" t="s">
        <v>149</v>
      </c>
      <c r="G246" s="36" t="s">
        <v>426</v>
      </c>
      <c r="H246" s="35"/>
      <c r="I246" s="35" t="s">
        <v>132</v>
      </c>
      <c r="J246" s="35" t="s">
        <v>77</v>
      </c>
      <c r="K246" s="159" t="e">
        <f t="shared" ref="K246:K272" si="145">IF(NOT(ISBLANK(J246)),VLOOKUP(J246, metrics_lookup_table, 4, FALSE))</f>
        <v>#N/A</v>
      </c>
      <c r="L246" s="159" t="e">
        <f t="shared" ref="L246:L272" si="146">IF(NOT(ISBLANK(J246)),VLOOKUP(J246, metrics_lookup_table, 5, FALSE))</f>
        <v>#N/A</v>
      </c>
      <c r="M246" s="160">
        <v>1</v>
      </c>
      <c r="N246" s="191">
        <v>1.5625</v>
      </c>
      <c r="O246" s="190" t="str">
        <f t="shared" si="58"/>
        <v/>
      </c>
      <c r="P246" s="191">
        <v>2.625</v>
      </c>
      <c r="Q246" s="190" t="str">
        <f t="shared" si="59"/>
        <v/>
      </c>
      <c r="R246" s="191"/>
      <c r="S246" s="190" t="str">
        <f t="shared" si="141"/>
        <v/>
      </c>
      <c r="T246" s="44"/>
    </row>
    <row r="247" spans="1:20">
      <c r="A247" s="303"/>
      <c r="B247" s="34" t="s">
        <v>129</v>
      </c>
      <c r="C247" s="35" t="s">
        <v>309</v>
      </c>
      <c r="D247" s="36" t="s">
        <v>24</v>
      </c>
      <c r="E247" s="211" t="str">
        <f t="shared" si="142"/>
        <v>Dev - Sales Tools</v>
      </c>
      <c r="F247" s="231" t="s">
        <v>135</v>
      </c>
      <c r="G247" s="36" t="s">
        <v>427</v>
      </c>
      <c r="H247" s="35"/>
      <c r="I247" s="35" t="s">
        <v>137</v>
      </c>
      <c r="J247" s="35" t="s">
        <v>87</v>
      </c>
      <c r="K247" s="159" t="e">
        <f t="shared" si="145"/>
        <v>#N/A</v>
      </c>
      <c r="L247" s="159" t="e">
        <f t="shared" si="146"/>
        <v>#N/A</v>
      </c>
      <c r="M247" s="160">
        <v>1</v>
      </c>
      <c r="N247" s="191">
        <v>3.25</v>
      </c>
      <c r="O247" s="190" t="str">
        <f t="shared" si="58"/>
        <v/>
      </c>
      <c r="P247" s="191">
        <v>4.875</v>
      </c>
      <c r="Q247" s="190" t="str">
        <f t="shared" si="59"/>
        <v/>
      </c>
      <c r="R247" s="191"/>
      <c r="S247" s="190" t="str">
        <f t="shared" si="141"/>
        <v/>
      </c>
      <c r="T247" s="44"/>
    </row>
    <row r="248" spans="1:20" ht="26">
      <c r="A248" s="303"/>
      <c r="B248" s="34" t="s">
        <v>129</v>
      </c>
      <c r="C248" s="35" t="s">
        <v>309</v>
      </c>
      <c r="D248" s="36" t="s">
        <v>24</v>
      </c>
      <c r="E248" s="211" t="str">
        <f t="shared" si="142"/>
        <v>Dev - Search</v>
      </c>
      <c r="F248" s="231" t="s">
        <v>149</v>
      </c>
      <c r="G248" s="36" t="s">
        <v>428</v>
      </c>
      <c r="H248" s="35"/>
      <c r="I248" s="35" t="s">
        <v>132</v>
      </c>
      <c r="J248" s="35" t="s">
        <v>87</v>
      </c>
      <c r="K248" s="159" t="e">
        <f t="shared" si="145"/>
        <v>#N/A</v>
      </c>
      <c r="L248" s="159" t="e">
        <f t="shared" si="146"/>
        <v>#N/A</v>
      </c>
      <c r="M248" s="160">
        <v>1</v>
      </c>
      <c r="N248" s="191">
        <v>3.25</v>
      </c>
      <c r="O248" s="190" t="str">
        <f t="shared" si="58"/>
        <v/>
      </c>
      <c r="P248" s="191">
        <v>4.875</v>
      </c>
      <c r="Q248" s="190" t="str">
        <f t="shared" si="59"/>
        <v/>
      </c>
      <c r="R248" s="191"/>
      <c r="S248" s="190" t="str">
        <f t="shared" si="141"/>
        <v/>
      </c>
      <c r="T248" s="44"/>
    </row>
    <row r="249" spans="1:20" ht="26">
      <c r="A249" s="303"/>
      <c r="B249" s="34" t="s">
        <v>330</v>
      </c>
      <c r="C249" s="35" t="s">
        <v>309</v>
      </c>
      <c r="D249" s="36" t="s">
        <v>24</v>
      </c>
      <c r="E249" s="211" t="str">
        <f t="shared" si="142"/>
        <v>Dev - Search Filters</v>
      </c>
      <c r="F249" s="231" t="s">
        <v>149</v>
      </c>
      <c r="G249" s="36" t="s">
        <v>280</v>
      </c>
      <c r="H249" s="35"/>
      <c r="I249" s="35" t="s">
        <v>132</v>
      </c>
      <c r="J249" s="35" t="s">
        <v>77</v>
      </c>
      <c r="K249" s="159" t="e">
        <f t="shared" si="145"/>
        <v>#N/A</v>
      </c>
      <c r="L249" s="159" t="e">
        <f t="shared" si="146"/>
        <v>#N/A</v>
      </c>
      <c r="M249" s="160">
        <v>1</v>
      </c>
      <c r="N249" s="191">
        <v>1.5625</v>
      </c>
      <c r="O249" s="190" t="str">
        <f t="shared" si="58"/>
        <v/>
      </c>
      <c r="P249" s="191">
        <v>2.625</v>
      </c>
      <c r="Q249" s="190" t="str">
        <f t="shared" si="59"/>
        <v/>
      </c>
      <c r="R249" s="191"/>
      <c r="S249" s="190" t="str">
        <f t="shared" si="141"/>
        <v/>
      </c>
      <c r="T249" s="44"/>
    </row>
    <row r="250" spans="1:20" ht="26">
      <c r="A250" s="303"/>
      <c r="B250" s="34" t="s">
        <v>129</v>
      </c>
      <c r="C250" s="35" t="s">
        <v>309</v>
      </c>
      <c r="D250" s="36" t="s">
        <v>24</v>
      </c>
      <c r="E250" s="211" t="str">
        <f t="shared" si="142"/>
        <v>Dev - Search Results</v>
      </c>
      <c r="F250" s="231" t="s">
        <v>149</v>
      </c>
      <c r="G250" s="36" t="s">
        <v>429</v>
      </c>
      <c r="H250" s="35"/>
      <c r="I250" s="35" t="s">
        <v>132</v>
      </c>
      <c r="J250" s="35" t="s">
        <v>92</v>
      </c>
      <c r="K250" s="159" t="e">
        <f>IF(NOT(ISBLANK(J250)),VLOOKUP(J250, metrics_lookup_table, 4, FALSE))</f>
        <v>#N/A</v>
      </c>
      <c r="L250" s="159" t="e">
        <f>IF(NOT(ISBLANK(J250)),VLOOKUP(J250, metrics_lookup_table, 5, FALSE))</f>
        <v>#N/A</v>
      </c>
      <c r="M250" s="160">
        <v>1</v>
      </c>
      <c r="N250" s="191">
        <v>6</v>
      </c>
      <c r="O250" s="190" t="str">
        <f t="shared" si="58"/>
        <v/>
      </c>
      <c r="P250" s="191">
        <v>8.375</v>
      </c>
      <c r="Q250" s="190" t="str">
        <f t="shared" si="59"/>
        <v/>
      </c>
      <c r="R250" s="191"/>
      <c r="S250" s="190" t="str">
        <f t="shared" si="141"/>
        <v/>
      </c>
      <c r="T250" s="44"/>
    </row>
    <row r="251" spans="1:20">
      <c r="A251" s="303"/>
      <c r="B251" s="34" t="s">
        <v>129</v>
      </c>
      <c r="C251" s="35" t="s">
        <v>309</v>
      </c>
      <c r="D251" s="36" t="s">
        <v>24</v>
      </c>
      <c r="E251" s="211" t="str">
        <f t="shared" si="142"/>
        <v>Dev - Sector Exposure</v>
      </c>
      <c r="F251" s="231" t="s">
        <v>135</v>
      </c>
      <c r="G251" s="36" t="s">
        <v>430</v>
      </c>
      <c r="H251" s="35"/>
      <c r="I251" s="35" t="s">
        <v>132</v>
      </c>
      <c r="J251" s="35" t="s">
        <v>87</v>
      </c>
      <c r="K251" s="159" t="e">
        <f t="shared" si="145"/>
        <v>#N/A</v>
      </c>
      <c r="L251" s="159" t="e">
        <f t="shared" si="146"/>
        <v>#N/A</v>
      </c>
      <c r="M251" s="160">
        <v>1</v>
      </c>
      <c r="N251" s="191">
        <v>3.25</v>
      </c>
      <c r="O251" s="190" t="str">
        <f t="shared" si="58"/>
        <v/>
      </c>
      <c r="P251" s="191">
        <v>4.875</v>
      </c>
      <c r="Q251" s="190" t="str">
        <f t="shared" si="59"/>
        <v/>
      </c>
      <c r="R251" s="191"/>
      <c r="S251" s="190" t="str">
        <f t="shared" si="141"/>
        <v/>
      </c>
      <c r="T251" s="44"/>
    </row>
    <row r="252" spans="1:20" ht="26">
      <c r="A252" s="303"/>
      <c r="B252" s="34" t="s">
        <v>129</v>
      </c>
      <c r="C252" s="35" t="s">
        <v>309</v>
      </c>
      <c r="D252" s="36" t="s">
        <v>24</v>
      </c>
      <c r="E252" s="211" t="str">
        <f t="shared" si="142"/>
        <v>Dev - Segmentation</v>
      </c>
      <c r="F252" s="231" t="s">
        <v>149</v>
      </c>
      <c r="G252" s="36" t="s">
        <v>431</v>
      </c>
      <c r="H252" s="35"/>
      <c r="I252" s="35" t="s">
        <v>132</v>
      </c>
      <c r="J252" s="35" t="s">
        <v>87</v>
      </c>
      <c r="K252" s="159" t="e">
        <f t="shared" si="145"/>
        <v>#N/A</v>
      </c>
      <c r="L252" s="159" t="e">
        <f t="shared" si="146"/>
        <v>#N/A</v>
      </c>
      <c r="M252" s="160">
        <v>1</v>
      </c>
      <c r="N252" s="191">
        <v>3.25</v>
      </c>
      <c r="O252" s="190" t="str">
        <f t="shared" si="58"/>
        <v/>
      </c>
      <c r="P252" s="191">
        <v>4.875</v>
      </c>
      <c r="Q252" s="190" t="str">
        <f t="shared" si="59"/>
        <v/>
      </c>
      <c r="R252" s="191"/>
      <c r="S252" s="190" t="str">
        <f t="shared" si="141"/>
        <v/>
      </c>
      <c r="T252" s="44"/>
    </row>
    <row r="253" spans="1:20" ht="26">
      <c r="A253" s="303"/>
      <c r="B253" s="34" t="s">
        <v>330</v>
      </c>
      <c r="C253" s="35" t="s">
        <v>309</v>
      </c>
      <c r="D253" s="36" t="s">
        <v>24</v>
      </c>
      <c r="E253" s="211" t="str">
        <f t="shared" si="142"/>
        <v>Dev - Selection Box</v>
      </c>
      <c r="F253" s="231" t="s">
        <v>149</v>
      </c>
      <c r="G253" s="36" t="s">
        <v>432</v>
      </c>
      <c r="H253" s="35"/>
      <c r="I253" s="35" t="s">
        <v>132</v>
      </c>
      <c r="J253" s="35" t="s">
        <v>77</v>
      </c>
      <c r="K253" s="159" t="e">
        <f t="shared" si="145"/>
        <v>#N/A</v>
      </c>
      <c r="L253" s="159" t="e">
        <f t="shared" si="146"/>
        <v>#N/A</v>
      </c>
      <c r="M253" s="160">
        <v>1</v>
      </c>
      <c r="N253" s="191">
        <v>1.5625</v>
      </c>
      <c r="O253" s="190" t="str">
        <f t="shared" si="58"/>
        <v/>
      </c>
      <c r="P253" s="191">
        <v>2.625</v>
      </c>
      <c r="Q253" s="190" t="str">
        <f t="shared" si="59"/>
        <v/>
      </c>
      <c r="R253" s="191"/>
      <c r="S253" s="190" t="str">
        <f t="shared" si="141"/>
        <v/>
      </c>
      <c r="T253" s="44"/>
    </row>
    <row r="254" spans="1:20" ht="26">
      <c r="A254" s="303"/>
      <c r="B254" s="34" t="s">
        <v>129</v>
      </c>
      <c r="C254" s="35" t="s">
        <v>309</v>
      </c>
      <c r="D254" s="36" t="s">
        <v>24</v>
      </c>
      <c r="E254" s="211" t="str">
        <f t="shared" si="142"/>
        <v>Dev - Seminar</v>
      </c>
      <c r="F254" s="231" t="s">
        <v>149</v>
      </c>
      <c r="G254" s="36" t="s">
        <v>433</v>
      </c>
      <c r="H254" s="35"/>
      <c r="I254" s="35" t="s">
        <v>132</v>
      </c>
      <c r="J254" s="35" t="s">
        <v>87</v>
      </c>
      <c r="K254" s="159" t="e">
        <f t="shared" si="145"/>
        <v>#N/A</v>
      </c>
      <c r="L254" s="159" t="e">
        <f t="shared" si="146"/>
        <v>#N/A</v>
      </c>
      <c r="M254" s="160">
        <v>1</v>
      </c>
      <c r="N254" s="191">
        <v>3.25</v>
      </c>
      <c r="O254" s="190" t="str">
        <f t="shared" si="58"/>
        <v/>
      </c>
      <c r="P254" s="191">
        <v>4.875</v>
      </c>
      <c r="Q254" s="190" t="str">
        <f t="shared" si="59"/>
        <v/>
      </c>
      <c r="R254" s="191"/>
      <c r="S254" s="190" t="str">
        <f t="shared" si="141"/>
        <v/>
      </c>
      <c r="T254" s="44"/>
    </row>
    <row r="255" spans="1:20" ht="26">
      <c r="A255" s="303"/>
      <c r="B255" s="34" t="s">
        <v>330</v>
      </c>
      <c r="C255" s="35" t="s">
        <v>309</v>
      </c>
      <c r="D255" s="36" t="s">
        <v>24</v>
      </c>
      <c r="E255" s="211" t="str">
        <f t="shared" si="142"/>
        <v>Dev - Spotlight</v>
      </c>
      <c r="F255" s="231" t="s">
        <v>149</v>
      </c>
      <c r="G255" s="36" t="s">
        <v>434</v>
      </c>
      <c r="H255" s="35"/>
      <c r="I255" s="35" t="s">
        <v>132</v>
      </c>
      <c r="J255" s="35" t="s">
        <v>77</v>
      </c>
      <c r="K255" s="159" t="e">
        <f t="shared" si="145"/>
        <v>#N/A</v>
      </c>
      <c r="L255" s="159" t="e">
        <f t="shared" si="146"/>
        <v>#N/A</v>
      </c>
      <c r="M255" s="160">
        <v>1</v>
      </c>
      <c r="N255" s="191">
        <v>1.5625</v>
      </c>
      <c r="O255" s="190" t="str">
        <f t="shared" si="58"/>
        <v/>
      </c>
      <c r="P255" s="191">
        <v>2.625</v>
      </c>
      <c r="Q255" s="190" t="str">
        <f t="shared" si="59"/>
        <v/>
      </c>
      <c r="R255" s="191"/>
      <c r="S255" s="190" t="str">
        <f t="shared" si="141"/>
        <v/>
      </c>
    </row>
    <row r="256" spans="1:20" ht="26">
      <c r="A256" s="303"/>
      <c r="B256" s="34" t="s">
        <v>330</v>
      </c>
      <c r="C256" s="35" t="s">
        <v>309</v>
      </c>
      <c r="D256" s="36" t="s">
        <v>24</v>
      </c>
      <c r="E256" s="211" t="str">
        <f t="shared" si="142"/>
        <v>Dev - Static Portfolios</v>
      </c>
      <c r="F256" s="231" t="s">
        <v>149</v>
      </c>
      <c r="G256" s="36" t="s">
        <v>435</v>
      </c>
      <c r="H256" s="35"/>
      <c r="I256" s="35" t="s">
        <v>132</v>
      </c>
      <c r="J256" s="35" t="s">
        <v>77</v>
      </c>
      <c r="K256" s="159" t="e">
        <f t="shared" si="145"/>
        <v>#N/A</v>
      </c>
      <c r="L256" s="159" t="e">
        <f t="shared" si="146"/>
        <v>#N/A</v>
      </c>
      <c r="M256" s="160">
        <v>1</v>
      </c>
      <c r="N256" s="191">
        <v>1.5625</v>
      </c>
      <c r="O256" s="190" t="str">
        <f t="shared" si="58"/>
        <v/>
      </c>
      <c r="P256" s="191">
        <v>2.625</v>
      </c>
      <c r="Q256" s="190" t="str">
        <f t="shared" si="59"/>
        <v/>
      </c>
      <c r="R256" s="191"/>
      <c r="S256" s="190" t="str">
        <f t="shared" si="141"/>
        <v/>
      </c>
      <c r="T256" s="44"/>
    </row>
    <row r="257" spans="1:20" ht="26">
      <c r="A257" s="303"/>
      <c r="B257" s="34" t="s">
        <v>330</v>
      </c>
      <c r="C257" s="35" t="s">
        <v>309</v>
      </c>
      <c r="D257" s="36" t="s">
        <v>24</v>
      </c>
      <c r="E257" s="211" t="str">
        <f t="shared" si="142"/>
        <v>Dev - Strategic Spotlight</v>
      </c>
      <c r="F257" s="231" t="s">
        <v>149</v>
      </c>
      <c r="G257" s="36" t="s">
        <v>436</v>
      </c>
      <c r="H257" s="35"/>
      <c r="I257" s="35" t="s">
        <v>132</v>
      </c>
      <c r="J257" s="35" t="s">
        <v>77</v>
      </c>
      <c r="K257" s="159" t="e">
        <f t="shared" si="145"/>
        <v>#N/A</v>
      </c>
      <c r="L257" s="159" t="e">
        <f t="shared" si="146"/>
        <v>#N/A</v>
      </c>
      <c r="M257" s="160">
        <v>1</v>
      </c>
      <c r="N257" s="191">
        <v>1.5625</v>
      </c>
      <c r="O257" s="190" t="str">
        <f t="shared" si="58"/>
        <v/>
      </c>
      <c r="P257" s="191">
        <v>2.625</v>
      </c>
      <c r="Q257" s="190" t="str">
        <f t="shared" si="59"/>
        <v/>
      </c>
      <c r="R257" s="191"/>
      <c r="S257" s="190" t="str">
        <f t="shared" si="141"/>
        <v/>
      </c>
      <c r="T257" s="44"/>
    </row>
    <row r="258" spans="1:20" ht="26">
      <c r="A258" s="303"/>
      <c r="B258" s="34" t="s">
        <v>330</v>
      </c>
      <c r="C258" s="35" t="s">
        <v>309</v>
      </c>
      <c r="D258" s="36" t="s">
        <v>24</v>
      </c>
      <c r="E258" s="211" t="str">
        <f t="shared" si="142"/>
        <v>Dev - TabComponent</v>
      </c>
      <c r="F258" s="231" t="s">
        <v>149</v>
      </c>
      <c r="G258" s="36" t="s">
        <v>437</v>
      </c>
      <c r="H258" s="35"/>
      <c r="I258" s="35" t="s">
        <v>132</v>
      </c>
      <c r="J258" s="35" t="s">
        <v>77</v>
      </c>
      <c r="K258" s="159" t="e">
        <f t="shared" si="145"/>
        <v>#N/A</v>
      </c>
      <c r="L258" s="159" t="e">
        <f t="shared" si="146"/>
        <v>#N/A</v>
      </c>
      <c r="M258" s="160">
        <v>1</v>
      </c>
      <c r="N258" s="191">
        <v>1.5625</v>
      </c>
      <c r="O258" s="190" t="str">
        <f t="shared" si="58"/>
        <v/>
      </c>
      <c r="P258" s="191">
        <v>2.625</v>
      </c>
      <c r="Q258" s="190" t="str">
        <f t="shared" si="59"/>
        <v/>
      </c>
      <c r="R258" s="191"/>
      <c r="S258" s="190" t="str">
        <f t="shared" si="141"/>
        <v/>
      </c>
      <c r="T258" s="44"/>
    </row>
    <row r="259" spans="1:20">
      <c r="A259" s="303"/>
      <c r="B259" s="34" t="s">
        <v>330</v>
      </c>
      <c r="C259" s="35" t="s">
        <v>309</v>
      </c>
      <c r="D259" s="36" t="s">
        <v>24</v>
      </c>
      <c r="E259" s="211" t="str">
        <f t="shared" si="142"/>
        <v>Dev - Text</v>
      </c>
      <c r="F259" s="231" t="s">
        <v>135</v>
      </c>
      <c r="G259" s="36" t="s">
        <v>438</v>
      </c>
      <c r="H259" s="35"/>
      <c r="I259" s="35" t="s">
        <v>132</v>
      </c>
      <c r="J259" s="35" t="s">
        <v>77</v>
      </c>
      <c r="K259" s="159" t="e">
        <f t="shared" si="145"/>
        <v>#N/A</v>
      </c>
      <c r="L259" s="159" t="e">
        <f t="shared" si="146"/>
        <v>#N/A</v>
      </c>
      <c r="M259" s="160">
        <v>1</v>
      </c>
      <c r="N259" s="191">
        <v>1.5625</v>
      </c>
      <c r="O259" s="190" t="str">
        <f t="shared" si="58"/>
        <v/>
      </c>
      <c r="P259" s="191">
        <v>2.625</v>
      </c>
      <c r="Q259" s="190" t="str">
        <f t="shared" si="59"/>
        <v/>
      </c>
      <c r="R259" s="191"/>
      <c r="S259" s="190" t="str">
        <f t="shared" si="141"/>
        <v/>
      </c>
      <c r="T259" s="44"/>
    </row>
    <row r="260" spans="1:20">
      <c r="A260" s="303"/>
      <c r="B260" s="34"/>
      <c r="C260" s="35" t="s">
        <v>309</v>
      </c>
      <c r="D260" s="36" t="s">
        <v>24</v>
      </c>
      <c r="E260" s="211" t="str">
        <f t="shared" si="142"/>
        <v>Dev - Text and links</v>
      </c>
      <c r="F260" s="231" t="s">
        <v>135</v>
      </c>
      <c r="G260" s="36" t="s">
        <v>439</v>
      </c>
      <c r="H260" s="35"/>
      <c r="I260" s="272" t="s">
        <v>137</v>
      </c>
      <c r="J260" s="35" t="s">
        <v>77</v>
      </c>
      <c r="K260" s="159" t="e">
        <f t="shared" si="145"/>
        <v>#N/A</v>
      </c>
      <c r="L260" s="159" t="e">
        <f t="shared" si="146"/>
        <v>#N/A</v>
      </c>
      <c r="M260" s="160">
        <v>1</v>
      </c>
      <c r="N260" s="191">
        <v>1.5625</v>
      </c>
      <c r="O260" s="190" t="str">
        <f t="shared" si="58"/>
        <v/>
      </c>
      <c r="P260" s="191">
        <v>2.625</v>
      </c>
      <c r="Q260" s="190" t="str">
        <f t="shared" si="59"/>
        <v/>
      </c>
      <c r="R260" s="191"/>
      <c r="S260" s="190" t="str">
        <f t="shared" si="141"/>
        <v/>
      </c>
      <c r="T260" s="44" t="s">
        <v>440</v>
      </c>
    </row>
    <row r="261" spans="1:20" ht="26">
      <c r="A261" s="303"/>
      <c r="B261" s="34" t="s">
        <v>330</v>
      </c>
      <c r="C261" s="35" t="s">
        <v>309</v>
      </c>
      <c r="D261" s="36" t="s">
        <v>24</v>
      </c>
      <c r="E261" s="211" t="str">
        <f t="shared" si="142"/>
        <v>Dev - Tiles</v>
      </c>
      <c r="F261" s="231" t="s">
        <v>149</v>
      </c>
      <c r="G261" s="36" t="s">
        <v>441</v>
      </c>
      <c r="H261" s="35"/>
      <c r="I261" s="35" t="s">
        <v>132</v>
      </c>
      <c r="J261" s="35" t="s">
        <v>77</v>
      </c>
      <c r="K261" s="159" t="e">
        <f t="shared" si="145"/>
        <v>#N/A</v>
      </c>
      <c r="L261" s="159" t="e">
        <f t="shared" si="146"/>
        <v>#N/A</v>
      </c>
      <c r="M261" s="160">
        <v>1</v>
      </c>
      <c r="N261" s="191">
        <v>1.5625</v>
      </c>
      <c r="O261" s="190" t="str">
        <f t="shared" si="58"/>
        <v/>
      </c>
      <c r="P261" s="191">
        <v>2.625</v>
      </c>
      <c r="Q261" s="190" t="str">
        <f t="shared" si="59"/>
        <v/>
      </c>
      <c r="R261" s="191"/>
      <c r="S261" s="190" t="str">
        <f t="shared" si="141"/>
        <v/>
      </c>
      <c r="T261" s="44"/>
    </row>
    <row r="262" spans="1:20" ht="26">
      <c r="A262" s="303"/>
      <c r="B262" s="34" t="s">
        <v>330</v>
      </c>
      <c r="C262" s="35" t="s">
        <v>309</v>
      </c>
      <c r="D262" s="36" t="s">
        <v>24</v>
      </c>
      <c r="E262" s="211" t="str">
        <f t="shared" si="142"/>
        <v>Dev - Timeline</v>
      </c>
      <c r="F262" s="231" t="s">
        <v>149</v>
      </c>
      <c r="G262" s="36" t="s">
        <v>442</v>
      </c>
      <c r="H262" s="35"/>
      <c r="I262" s="35" t="s">
        <v>132</v>
      </c>
      <c r="J262" s="35" t="s">
        <v>77</v>
      </c>
      <c r="K262" s="159" t="e">
        <f t="shared" si="145"/>
        <v>#N/A</v>
      </c>
      <c r="L262" s="159" t="e">
        <f t="shared" si="146"/>
        <v>#N/A</v>
      </c>
      <c r="M262" s="160">
        <v>1</v>
      </c>
      <c r="N262" s="191">
        <v>1.5625</v>
      </c>
      <c r="O262" s="190" t="str">
        <f t="shared" si="58"/>
        <v/>
      </c>
      <c r="P262" s="191">
        <v>2.625</v>
      </c>
      <c r="Q262" s="190" t="str">
        <f t="shared" si="59"/>
        <v/>
      </c>
      <c r="R262" s="191"/>
      <c r="S262" s="190" t="str">
        <f t="shared" si="141"/>
        <v/>
      </c>
      <c r="T262" s="44"/>
    </row>
    <row r="263" spans="1:20">
      <c r="A263" s="303"/>
      <c r="B263" s="34" t="s">
        <v>330</v>
      </c>
      <c r="C263" s="35" t="s">
        <v>309</v>
      </c>
      <c r="D263" s="36" t="s">
        <v>24</v>
      </c>
      <c r="E263" s="211" t="str">
        <f t="shared" si="142"/>
        <v>Dev - Title and Text</v>
      </c>
      <c r="F263" s="231" t="s">
        <v>135</v>
      </c>
      <c r="G263" s="36" t="s">
        <v>443</v>
      </c>
      <c r="H263" s="35"/>
      <c r="I263" s="35" t="s">
        <v>132</v>
      </c>
      <c r="J263" s="35" t="s">
        <v>77</v>
      </c>
      <c r="K263" s="159" t="e">
        <f t="shared" si="145"/>
        <v>#N/A</v>
      </c>
      <c r="L263" s="159" t="e">
        <f t="shared" si="146"/>
        <v>#N/A</v>
      </c>
      <c r="M263" s="160">
        <v>1</v>
      </c>
      <c r="N263" s="191">
        <v>1.5625</v>
      </c>
      <c r="O263" s="190" t="str">
        <f t="shared" si="58"/>
        <v/>
      </c>
      <c r="P263" s="191">
        <v>2.625</v>
      </c>
      <c r="Q263" s="190" t="str">
        <f t="shared" si="59"/>
        <v/>
      </c>
      <c r="R263" s="191"/>
      <c r="S263" s="190" t="str">
        <f t="shared" si="141"/>
        <v/>
      </c>
      <c r="T263" s="44" t="s">
        <v>440</v>
      </c>
    </row>
    <row r="264" spans="1:20">
      <c r="A264" s="303"/>
      <c r="B264" s="34"/>
      <c r="C264" s="35" t="s">
        <v>309</v>
      </c>
      <c r="D264" s="36" t="s">
        <v>24</v>
      </c>
      <c r="E264" s="211" t="str">
        <f t="shared" si="142"/>
        <v>Dev - title and text + Links</v>
      </c>
      <c r="F264" s="231" t="s">
        <v>135</v>
      </c>
      <c r="G264" s="36" t="s">
        <v>444</v>
      </c>
      <c r="H264" s="35"/>
      <c r="I264" s="272" t="s">
        <v>137</v>
      </c>
      <c r="J264" s="35" t="s">
        <v>77</v>
      </c>
      <c r="K264" s="159" t="e">
        <f t="shared" si="145"/>
        <v>#N/A</v>
      </c>
      <c r="L264" s="159" t="e">
        <f t="shared" si="146"/>
        <v>#N/A</v>
      </c>
      <c r="M264" s="160">
        <v>1</v>
      </c>
      <c r="N264" s="191">
        <v>1.5625</v>
      </c>
      <c r="O264" s="190" t="str">
        <f t="shared" si="58"/>
        <v/>
      </c>
      <c r="P264" s="191">
        <v>2.625</v>
      </c>
      <c r="Q264" s="190" t="str">
        <f t="shared" si="59"/>
        <v/>
      </c>
      <c r="R264" s="191"/>
      <c r="S264" s="190" t="str">
        <f t="shared" si="141"/>
        <v/>
      </c>
      <c r="T264" s="44" t="s">
        <v>440</v>
      </c>
    </row>
    <row r="265" spans="1:20">
      <c r="A265" s="303"/>
      <c r="B265" s="34" t="s">
        <v>330</v>
      </c>
      <c r="C265" s="35" t="s">
        <v>309</v>
      </c>
      <c r="D265" s="36" t="s">
        <v>24</v>
      </c>
      <c r="E265" s="211" t="str">
        <f t="shared" si="142"/>
        <v>Dev - Title with Jump Section</v>
      </c>
      <c r="F265" s="231" t="s">
        <v>135</v>
      </c>
      <c r="G265" s="36" t="s">
        <v>445</v>
      </c>
      <c r="H265" s="35"/>
      <c r="I265" s="35" t="s">
        <v>132</v>
      </c>
      <c r="J265" s="35" t="s">
        <v>77</v>
      </c>
      <c r="K265" s="159" t="e">
        <f t="shared" si="145"/>
        <v>#N/A</v>
      </c>
      <c r="L265" s="159" t="e">
        <f t="shared" si="146"/>
        <v>#N/A</v>
      </c>
      <c r="M265" s="160">
        <v>1</v>
      </c>
      <c r="N265" s="191">
        <v>1.5625</v>
      </c>
      <c r="O265" s="190" t="str">
        <f t="shared" si="58"/>
        <v/>
      </c>
      <c r="P265" s="191">
        <v>2.625</v>
      </c>
      <c r="Q265" s="190" t="str">
        <f t="shared" si="59"/>
        <v/>
      </c>
      <c r="R265" s="191"/>
      <c r="S265" s="190" t="str">
        <f t="shared" si="141"/>
        <v/>
      </c>
      <c r="T265" s="44"/>
    </row>
    <row r="266" spans="1:20" ht="26">
      <c r="A266" s="303"/>
      <c r="B266" s="34" t="s">
        <v>129</v>
      </c>
      <c r="C266" s="35" t="s">
        <v>309</v>
      </c>
      <c r="D266" s="36" t="s">
        <v>24</v>
      </c>
      <c r="E266" s="211" t="str">
        <f t="shared" si="142"/>
        <v>Dev - Top Navigation</v>
      </c>
      <c r="F266" s="231" t="s">
        <v>149</v>
      </c>
      <c r="G266" s="36" t="s">
        <v>446</v>
      </c>
      <c r="H266" s="35"/>
      <c r="I266" s="35" t="s">
        <v>132</v>
      </c>
      <c r="J266" s="35" t="s">
        <v>87</v>
      </c>
      <c r="K266" s="159" t="e">
        <f t="shared" si="145"/>
        <v>#N/A</v>
      </c>
      <c r="L266" s="159" t="e">
        <f t="shared" si="146"/>
        <v>#N/A</v>
      </c>
      <c r="M266" s="160">
        <v>1</v>
      </c>
      <c r="N266" s="191">
        <v>3.25</v>
      </c>
      <c r="O266" s="190" t="str">
        <f t="shared" si="58"/>
        <v/>
      </c>
      <c r="P266" s="191">
        <v>4.875</v>
      </c>
      <c r="Q266" s="190" t="str">
        <f t="shared" si="59"/>
        <v/>
      </c>
      <c r="R266" s="191"/>
      <c r="S266" s="190" t="str">
        <f t="shared" si="141"/>
        <v/>
      </c>
      <c r="T266" s="44"/>
    </row>
    <row r="267" spans="1:20" ht="26">
      <c r="A267" s="303"/>
      <c r="B267" s="34" t="s">
        <v>129</v>
      </c>
      <c r="C267" s="35" t="s">
        <v>309</v>
      </c>
      <c r="D267" s="36" t="s">
        <v>24</v>
      </c>
      <c r="E267" s="211" t="str">
        <f t="shared" si="142"/>
        <v>Dev - Top Ten Holdings</v>
      </c>
      <c r="F267" s="231" t="s">
        <v>149</v>
      </c>
      <c r="G267" s="36" t="s">
        <v>447</v>
      </c>
      <c r="H267" s="35"/>
      <c r="I267" s="35" t="s">
        <v>132</v>
      </c>
      <c r="J267" s="35" t="s">
        <v>87</v>
      </c>
      <c r="K267" s="159" t="e">
        <f t="shared" si="145"/>
        <v>#N/A</v>
      </c>
      <c r="L267" s="159" t="e">
        <f t="shared" si="146"/>
        <v>#N/A</v>
      </c>
      <c r="M267" s="160">
        <v>1</v>
      </c>
      <c r="N267" s="191">
        <v>3.25</v>
      </c>
      <c r="O267" s="190" t="str">
        <f t="shared" si="58"/>
        <v/>
      </c>
      <c r="P267" s="191">
        <v>4.875</v>
      </c>
      <c r="Q267" s="190" t="str">
        <f t="shared" si="59"/>
        <v/>
      </c>
      <c r="R267" s="191"/>
      <c r="S267" s="190" t="str">
        <f t="shared" si="141"/>
        <v/>
      </c>
      <c r="T267" s="44"/>
    </row>
    <row r="268" spans="1:20" ht="26">
      <c r="A268" s="303"/>
      <c r="B268" s="34" t="s">
        <v>330</v>
      </c>
      <c r="C268" s="35" t="s">
        <v>309</v>
      </c>
      <c r="D268" s="36" t="s">
        <v>24</v>
      </c>
      <c r="E268" s="211" t="str">
        <f t="shared" si="142"/>
        <v>Dev - UserProfile</v>
      </c>
      <c r="F268" s="231" t="s">
        <v>149</v>
      </c>
      <c r="G268" s="36" t="s">
        <v>448</v>
      </c>
      <c r="H268" s="35"/>
      <c r="I268" s="35" t="s">
        <v>132</v>
      </c>
      <c r="J268" s="35" t="s">
        <v>77</v>
      </c>
      <c r="K268" s="159" t="e">
        <f t="shared" si="145"/>
        <v>#N/A</v>
      </c>
      <c r="L268" s="159" t="e">
        <f t="shared" si="146"/>
        <v>#N/A</v>
      </c>
      <c r="M268" s="160">
        <v>1</v>
      </c>
      <c r="N268" s="191">
        <v>1.5625</v>
      </c>
      <c r="O268" s="190" t="str">
        <f t="shared" si="58"/>
        <v/>
      </c>
      <c r="P268" s="191">
        <v>2.625</v>
      </c>
      <c r="Q268" s="190" t="str">
        <f t="shared" si="59"/>
        <v/>
      </c>
      <c r="R268" s="191"/>
      <c r="S268" s="190" t="str">
        <f t="shared" si="141"/>
        <v/>
      </c>
      <c r="T268" s="44"/>
    </row>
    <row r="269" spans="1:20">
      <c r="A269" s="303"/>
      <c r="B269" s="34" t="s">
        <v>330</v>
      </c>
      <c r="C269" s="35" t="s">
        <v>309</v>
      </c>
      <c r="D269" s="36" t="s">
        <v>24</v>
      </c>
      <c r="E269" s="211" t="str">
        <f t="shared" si="142"/>
        <v>Dev - Utility Footer</v>
      </c>
      <c r="F269" s="231" t="s">
        <v>135</v>
      </c>
      <c r="G269" s="36" t="s">
        <v>449</v>
      </c>
      <c r="H269" s="35"/>
      <c r="I269" s="35" t="s">
        <v>132</v>
      </c>
      <c r="J269" s="35" t="s">
        <v>77</v>
      </c>
      <c r="K269" s="159" t="e">
        <f>IF(NOT(ISBLANK(J269)),VLOOKUP(J269, metrics_lookup_table, 4, FALSE))</f>
        <v>#N/A</v>
      </c>
      <c r="L269" s="159" t="e">
        <f>IF(NOT(ISBLANK(J269)),VLOOKUP(J269, metrics_lookup_table, 5, FALSE))</f>
        <v>#N/A</v>
      </c>
      <c r="M269" s="160">
        <v>1</v>
      </c>
      <c r="N269" s="191">
        <v>1.5625</v>
      </c>
      <c r="O269" s="190" t="str">
        <f t="shared" si="58"/>
        <v/>
      </c>
      <c r="P269" s="191">
        <v>2.625</v>
      </c>
      <c r="Q269" s="190" t="str">
        <f t="shared" si="59"/>
        <v/>
      </c>
      <c r="R269" s="191"/>
      <c r="S269" s="190" t="str">
        <f t="shared" si="141"/>
        <v/>
      </c>
      <c r="T269" s="44"/>
    </row>
    <row r="270" spans="1:20">
      <c r="A270" s="303"/>
      <c r="B270" s="34" t="s">
        <v>330</v>
      </c>
      <c r="C270" s="35" t="s">
        <v>309</v>
      </c>
      <c r="D270" s="36" t="s">
        <v>24</v>
      </c>
      <c r="E270" s="211" t="str">
        <f t="shared" si="142"/>
        <v>Dev - Utility Navigation</v>
      </c>
      <c r="F270" s="231" t="s">
        <v>135</v>
      </c>
      <c r="G270" s="36" t="s">
        <v>450</v>
      </c>
      <c r="H270" s="35"/>
      <c r="I270" s="35" t="s">
        <v>132</v>
      </c>
      <c r="J270" s="35" t="s">
        <v>77</v>
      </c>
      <c r="K270" s="159" t="e">
        <f>IF(NOT(ISBLANK(J270)),VLOOKUP(J270, metrics_lookup_table, 4, FALSE))</f>
        <v>#N/A</v>
      </c>
      <c r="L270" s="159" t="e">
        <f>IF(NOT(ISBLANK(J270)),VLOOKUP(J270, metrics_lookup_table, 5, FALSE))</f>
        <v>#N/A</v>
      </c>
      <c r="M270" s="160">
        <v>1</v>
      </c>
      <c r="N270" s="191">
        <v>1.5625</v>
      </c>
      <c r="O270" s="190" t="str">
        <f t="shared" si="58"/>
        <v/>
      </c>
      <c r="P270" s="191">
        <v>2.625</v>
      </c>
      <c r="Q270" s="190" t="str">
        <f t="shared" si="59"/>
        <v/>
      </c>
      <c r="R270" s="191"/>
      <c r="S270" s="190" t="str">
        <f t="shared" si="141"/>
        <v/>
      </c>
      <c r="T270" s="44"/>
    </row>
    <row r="271" spans="1:20" ht="26">
      <c r="A271" s="303"/>
      <c r="B271" s="34"/>
      <c r="C271" s="35" t="s">
        <v>309</v>
      </c>
      <c r="D271" s="36" t="s">
        <v>24</v>
      </c>
      <c r="E271" s="211" t="str">
        <f t="shared" si="142"/>
        <v>Dev - Login</v>
      </c>
      <c r="F271" s="231" t="s">
        <v>149</v>
      </c>
      <c r="G271" t="s">
        <v>281</v>
      </c>
      <c r="H271" s="35"/>
      <c r="I271" s="35" t="s">
        <v>132</v>
      </c>
      <c r="J271" s="35" t="s">
        <v>87</v>
      </c>
      <c r="K271" s="159" t="e">
        <f t="shared" si="145"/>
        <v>#N/A</v>
      </c>
      <c r="L271" s="159" t="e">
        <f t="shared" si="146"/>
        <v>#N/A</v>
      </c>
      <c r="M271" s="160">
        <v>1</v>
      </c>
      <c r="N271" s="191">
        <v>3.25</v>
      </c>
      <c r="O271" s="190" t="str">
        <f t="shared" si="58"/>
        <v/>
      </c>
      <c r="P271" s="191">
        <v>4.875</v>
      </c>
      <c r="Q271" s="190" t="str">
        <f t="shared" si="59"/>
        <v/>
      </c>
      <c r="R271" s="191"/>
      <c r="S271" s="190" t="str">
        <f t="shared" si="141"/>
        <v/>
      </c>
      <c r="T271" s="44"/>
    </row>
    <row r="272" spans="1:20" ht="26">
      <c r="A272" s="303"/>
      <c r="B272" s="34"/>
      <c r="C272" s="35" t="s">
        <v>309</v>
      </c>
      <c r="D272" s="36" t="s">
        <v>24</v>
      </c>
      <c r="E272" s="211" t="str">
        <f t="shared" si="142"/>
        <v>Dev - Register</v>
      </c>
      <c r="F272" s="231" t="s">
        <v>149</v>
      </c>
      <c r="G272" t="s">
        <v>451</v>
      </c>
      <c r="H272" s="258" t="s">
        <v>283</v>
      </c>
      <c r="I272" s="35" t="s">
        <v>132</v>
      </c>
      <c r="J272" s="35" t="s">
        <v>87</v>
      </c>
      <c r="K272" s="159" t="e">
        <f t="shared" si="145"/>
        <v>#N/A</v>
      </c>
      <c r="L272" s="159" t="e">
        <f t="shared" si="146"/>
        <v>#N/A</v>
      </c>
      <c r="M272" s="160">
        <v>1</v>
      </c>
      <c r="N272" s="191">
        <v>3.25</v>
      </c>
      <c r="O272" s="190" t="str">
        <f t="shared" si="58"/>
        <v/>
      </c>
      <c r="P272" s="191">
        <v>4.875</v>
      </c>
      <c r="Q272" s="190" t="str">
        <f t="shared" si="59"/>
        <v/>
      </c>
      <c r="R272" s="191"/>
      <c r="S272" s="190" t="str">
        <f t="shared" si="141"/>
        <v/>
      </c>
      <c r="T272" s="44"/>
    </row>
    <row r="273" spans="1:20" ht="26">
      <c r="A273" s="303"/>
      <c r="B273" s="34"/>
      <c r="C273" s="35" t="s">
        <v>309</v>
      </c>
      <c r="D273" s="36" t="s">
        <v>24</v>
      </c>
      <c r="E273" s="211" t="str">
        <f t="shared" si="142"/>
        <v>Dev - Register Comfirmation</v>
      </c>
      <c r="F273" s="231" t="s">
        <v>149</v>
      </c>
      <c r="G273" t="s">
        <v>452</v>
      </c>
      <c r="H273" s="35"/>
      <c r="I273" s="35" t="s">
        <v>132</v>
      </c>
      <c r="J273" s="35" t="s">
        <v>77</v>
      </c>
      <c r="K273" s="159" t="e">
        <f t="shared" ref="K273:K282" si="147">IF(NOT(ISBLANK(J273)),VLOOKUP(J273, metrics_lookup_table, 4, FALSE))</f>
        <v>#N/A</v>
      </c>
      <c r="L273" s="159" t="e">
        <f t="shared" ref="L273:L282" si="148">IF(NOT(ISBLANK(J273)),VLOOKUP(J273, metrics_lookup_table, 5, FALSE))</f>
        <v>#N/A</v>
      </c>
      <c r="M273" s="160">
        <v>1</v>
      </c>
      <c r="N273" s="191">
        <v>1.5625</v>
      </c>
      <c r="O273" s="190" t="str">
        <f t="shared" si="58"/>
        <v/>
      </c>
      <c r="P273" s="191">
        <v>2.625</v>
      </c>
      <c r="Q273" s="190" t="str">
        <f t="shared" si="59"/>
        <v/>
      </c>
      <c r="R273" s="191"/>
      <c r="S273" s="190" t="str">
        <f t="shared" si="141"/>
        <v/>
      </c>
      <c r="T273" s="44"/>
    </row>
    <row r="274" spans="1:20" ht="16.5" customHeight="1">
      <c r="A274" s="303"/>
      <c r="B274" s="34"/>
      <c r="C274" s="35" t="s">
        <v>309</v>
      </c>
      <c r="D274" s="36" t="s">
        <v>24</v>
      </c>
      <c r="E274" s="211" t="str">
        <f t="shared" ref="E274:E277" si="149">CONCATENATE("Dev - ",G274)</f>
        <v>Dev - Glossary</v>
      </c>
      <c r="F274" s="231" t="s">
        <v>149</v>
      </c>
      <c r="G274" t="s">
        <v>453</v>
      </c>
      <c r="H274" s="35"/>
      <c r="I274" s="35" t="s">
        <v>132</v>
      </c>
      <c r="J274" s="35" t="s">
        <v>92</v>
      </c>
      <c r="K274" s="159" t="e">
        <f t="shared" si="147"/>
        <v>#N/A</v>
      </c>
      <c r="L274" s="159" t="e">
        <f t="shared" si="148"/>
        <v>#N/A</v>
      </c>
      <c r="M274" s="160">
        <v>1</v>
      </c>
      <c r="N274" s="191">
        <v>6</v>
      </c>
      <c r="O274" s="190" t="str">
        <f t="shared" si="58"/>
        <v/>
      </c>
      <c r="P274" s="191">
        <v>8.375</v>
      </c>
      <c r="Q274" s="190" t="str">
        <f t="shared" si="59"/>
        <v/>
      </c>
      <c r="R274" s="191"/>
      <c r="S274" s="190" t="str">
        <f t="shared" ref="S274:S280" si="150">IF(AND(ISNUMBER(O274),ISNUMBER(Q274)),ROUND((O274+Q274)/2, 1),"")</f>
        <v/>
      </c>
      <c r="T274" s="44" t="s">
        <v>454</v>
      </c>
    </row>
    <row r="275" spans="1:20" ht="26">
      <c r="A275" s="303"/>
      <c r="B275" s="34"/>
      <c r="C275" s="35" t="s">
        <v>309</v>
      </c>
      <c r="D275" s="36" t="s">
        <v>24</v>
      </c>
      <c r="E275" s="211" t="str">
        <f t="shared" si="149"/>
        <v>Dev - Press releases</v>
      </c>
      <c r="F275" s="231" t="s">
        <v>149</v>
      </c>
      <c r="G275" s="211" t="s">
        <v>292</v>
      </c>
      <c r="H275" s="258" t="s">
        <v>293</v>
      </c>
      <c r="I275" s="35" t="s">
        <v>132</v>
      </c>
      <c r="J275" s="35" t="s">
        <v>92</v>
      </c>
      <c r="K275" s="159" t="e">
        <f t="shared" si="147"/>
        <v>#N/A</v>
      </c>
      <c r="L275" s="159" t="e">
        <f t="shared" si="148"/>
        <v>#N/A</v>
      </c>
      <c r="M275" s="160">
        <v>1</v>
      </c>
      <c r="N275" s="191">
        <v>6.5</v>
      </c>
      <c r="O275" s="190" t="str">
        <f t="shared" ref="O275:O279" si="151">IF(AND($I275="In",ISNUMBER($K275)),$M275*$K275,"")</f>
        <v/>
      </c>
      <c r="P275" s="191">
        <v>9.125</v>
      </c>
      <c r="Q275" s="190" t="str">
        <f t="shared" ref="Q275:Q279" si="152">IF(AND($I275="In",ISNUMBER($L275)),$M275*$L275,"")</f>
        <v/>
      </c>
      <c r="R275" s="191"/>
      <c r="S275" s="190" t="str">
        <f t="shared" si="150"/>
        <v/>
      </c>
      <c r="T275" s="44"/>
    </row>
    <row r="276" spans="1:20" ht="26">
      <c r="A276" s="303"/>
      <c r="B276" s="34"/>
      <c r="C276" s="35" t="s">
        <v>309</v>
      </c>
      <c r="D276" s="36" t="s">
        <v>24</v>
      </c>
      <c r="E276" s="211" t="str">
        <f t="shared" si="149"/>
        <v>Dev - FAQs</v>
      </c>
      <c r="F276" s="231" t="s">
        <v>149</v>
      </c>
      <c r="G276" s="211" t="s">
        <v>294</v>
      </c>
      <c r="H276" s="258" t="s">
        <v>295</v>
      </c>
      <c r="I276" s="35" t="s">
        <v>132</v>
      </c>
      <c r="J276" s="35" t="s">
        <v>87</v>
      </c>
      <c r="K276" s="159" t="e">
        <f t="shared" si="147"/>
        <v>#N/A</v>
      </c>
      <c r="L276" s="159" t="e">
        <f t="shared" si="148"/>
        <v>#N/A</v>
      </c>
      <c r="M276" s="160">
        <v>1</v>
      </c>
      <c r="N276" s="191">
        <v>4</v>
      </c>
      <c r="O276" s="190" t="str">
        <f t="shared" si="151"/>
        <v/>
      </c>
      <c r="P276" s="191">
        <v>6.125</v>
      </c>
      <c r="Q276" s="190" t="str">
        <f t="shared" si="152"/>
        <v/>
      </c>
      <c r="R276" s="191"/>
      <c r="S276" s="190" t="str">
        <f t="shared" si="150"/>
        <v/>
      </c>
      <c r="T276" s="44"/>
    </row>
    <row r="277" spans="1:20" ht="26">
      <c r="A277" s="303"/>
      <c r="B277" s="34"/>
      <c r="C277" s="35" t="s">
        <v>309</v>
      </c>
      <c r="D277" s="36" t="s">
        <v>24</v>
      </c>
      <c r="E277" s="211" t="str">
        <f t="shared" si="149"/>
        <v>Dev - Careers</v>
      </c>
      <c r="F277" s="231" t="s">
        <v>149</v>
      </c>
      <c r="G277" s="211" t="s">
        <v>296</v>
      </c>
      <c r="H277" s="258" t="s">
        <v>297</v>
      </c>
      <c r="I277" s="35" t="s">
        <v>132</v>
      </c>
      <c r="J277" s="35" t="s">
        <v>77</v>
      </c>
      <c r="K277" s="159" t="e">
        <f t="shared" si="147"/>
        <v>#N/A</v>
      </c>
      <c r="L277" s="159" t="e">
        <f t="shared" si="148"/>
        <v>#N/A</v>
      </c>
      <c r="M277" s="160">
        <v>1</v>
      </c>
      <c r="N277" s="191">
        <v>1.6875</v>
      </c>
      <c r="O277" s="190" t="str">
        <f t="shared" si="151"/>
        <v/>
      </c>
      <c r="P277" s="191">
        <v>2.875</v>
      </c>
      <c r="Q277" s="190" t="str">
        <f t="shared" si="152"/>
        <v/>
      </c>
      <c r="R277" s="191"/>
      <c r="S277" s="190" t="str">
        <f t="shared" si="150"/>
        <v/>
      </c>
      <c r="T277" s="44"/>
    </row>
    <row r="278" spans="1:20" ht="26">
      <c r="A278" s="303"/>
      <c r="B278" s="34"/>
      <c r="C278" s="35" t="s">
        <v>309</v>
      </c>
      <c r="D278" s="36" t="s">
        <v>24</v>
      </c>
      <c r="E278" s="211" t="str">
        <f t="shared" ref="E278" si="153">CONCATENATE("Dev - ",G278)</f>
        <v>Dev - Newsletter</v>
      </c>
      <c r="F278" s="231" t="s">
        <v>149</v>
      </c>
      <c r="G278" s="211" t="s">
        <v>152</v>
      </c>
      <c r="H278" s="258" t="s">
        <v>455</v>
      </c>
      <c r="I278" s="35" t="s">
        <v>132</v>
      </c>
      <c r="J278" s="35" t="s">
        <v>87</v>
      </c>
      <c r="K278" s="159" t="e">
        <f t="shared" si="147"/>
        <v>#N/A</v>
      </c>
      <c r="L278" s="159" t="e">
        <f t="shared" si="148"/>
        <v>#N/A</v>
      </c>
      <c r="M278" s="160">
        <v>1</v>
      </c>
      <c r="N278" s="191">
        <v>4</v>
      </c>
      <c r="O278" s="190" t="str">
        <f t="shared" si="151"/>
        <v/>
      </c>
      <c r="P278" s="191">
        <v>6.125</v>
      </c>
      <c r="Q278" s="190" t="str">
        <f t="shared" si="152"/>
        <v/>
      </c>
      <c r="R278" s="191"/>
      <c r="S278" s="190" t="str">
        <f t="shared" ref="S278" si="154">IF(AND(ISNUMBER(O278),ISNUMBER(Q278)),ROUND((O278+Q278)/2, 1),"")</f>
        <v/>
      </c>
      <c r="T278" s="44"/>
    </row>
    <row r="279" spans="1:20" ht="26">
      <c r="A279" s="303"/>
      <c r="B279" s="34"/>
      <c r="C279" s="35" t="s">
        <v>309</v>
      </c>
      <c r="D279" s="36" t="s">
        <v>24</v>
      </c>
      <c r="E279" s="211" t="str">
        <f t="shared" ref="E279" si="155">CONCATENATE("Dev - ",G279)</f>
        <v>Dev - Sales Tools &amp; Illustrations</v>
      </c>
      <c r="F279" s="231" t="s">
        <v>149</v>
      </c>
      <c r="G279" s="263" t="s">
        <v>288</v>
      </c>
      <c r="H279" s="258" t="s">
        <v>289</v>
      </c>
      <c r="I279" s="35" t="s">
        <v>137</v>
      </c>
      <c r="J279" s="35" t="s">
        <v>87</v>
      </c>
      <c r="K279" s="159" t="e">
        <f t="shared" si="147"/>
        <v>#N/A</v>
      </c>
      <c r="L279" s="159" t="e">
        <f t="shared" si="148"/>
        <v>#N/A</v>
      </c>
      <c r="M279" s="160">
        <v>1</v>
      </c>
      <c r="N279" s="191">
        <v>4</v>
      </c>
      <c r="O279" s="190" t="str">
        <f t="shared" si="151"/>
        <v/>
      </c>
      <c r="P279" s="191">
        <v>6.125</v>
      </c>
      <c r="Q279" s="190" t="str">
        <f t="shared" si="152"/>
        <v/>
      </c>
      <c r="R279" s="191"/>
      <c r="S279" s="190" t="str">
        <f t="shared" ref="S279" si="156">IF(AND(ISNUMBER(O279),ISNUMBER(Q279)),ROUND((O279+Q279)/2, 1),"")</f>
        <v/>
      </c>
      <c r="T279" s="44"/>
    </row>
    <row r="280" spans="1:20" ht="26">
      <c r="A280" s="303"/>
      <c r="B280" s="34"/>
      <c r="C280" s="35" t="s">
        <v>309</v>
      </c>
      <c r="D280" s="36" t="s">
        <v>24</v>
      </c>
      <c r="E280" s="36" t="s">
        <v>301</v>
      </c>
      <c r="F280" s="231" t="s">
        <v>149</v>
      </c>
      <c r="G280" t="s">
        <v>302</v>
      </c>
      <c r="H280" s="35"/>
      <c r="I280" s="35" t="s">
        <v>132</v>
      </c>
      <c r="J280" s="35" t="s">
        <v>68</v>
      </c>
      <c r="K280" s="159" t="e">
        <f t="shared" si="147"/>
        <v>#N/A</v>
      </c>
      <c r="L280" s="159" t="e">
        <f t="shared" si="148"/>
        <v>#N/A</v>
      </c>
      <c r="M280" s="160">
        <v>5</v>
      </c>
      <c r="N280" s="191">
        <v>1.4375</v>
      </c>
      <c r="O280" s="190" t="str">
        <f t="shared" ref="O280:O282" si="157">IF(AND($I280="In",ISNUMBER($K280)),$M280*$K280,"")</f>
        <v/>
      </c>
      <c r="P280" s="191">
        <v>2.0625</v>
      </c>
      <c r="Q280" s="190" t="str">
        <f t="shared" ref="Q280:Q282" si="158">IF(AND($I280="In",ISNUMBER($L280)),$M280*$L280,"")</f>
        <v/>
      </c>
      <c r="R280" s="191"/>
      <c r="S280" s="190" t="str">
        <f t="shared" si="150"/>
        <v/>
      </c>
      <c r="T280" s="44"/>
    </row>
    <row r="281" spans="1:20" ht="16.5" customHeight="1">
      <c r="A281" s="303"/>
      <c r="B281" s="34"/>
      <c r="C281" s="35" t="s">
        <v>309</v>
      </c>
      <c r="D281" s="36" t="s">
        <v>24</v>
      </c>
      <c r="E281" s="36" t="s">
        <v>303</v>
      </c>
      <c r="F281" s="231" t="s">
        <v>149</v>
      </c>
      <c r="G281" t="s">
        <v>456</v>
      </c>
      <c r="H281" s="35"/>
      <c r="I281" s="35" t="s">
        <v>132</v>
      </c>
      <c r="J281" s="35" t="s">
        <v>77</v>
      </c>
      <c r="K281" s="159" t="e">
        <f t="shared" si="147"/>
        <v>#N/A</v>
      </c>
      <c r="L281" s="159" t="e">
        <f t="shared" si="148"/>
        <v>#N/A</v>
      </c>
      <c r="M281" s="160">
        <v>7</v>
      </c>
      <c r="N281" s="191">
        <v>1.5625</v>
      </c>
      <c r="O281" s="190" t="str">
        <f t="shared" si="157"/>
        <v/>
      </c>
      <c r="P281" s="191">
        <v>2.625</v>
      </c>
      <c r="Q281" s="190" t="str">
        <f t="shared" si="158"/>
        <v/>
      </c>
      <c r="R281" s="191"/>
      <c r="S281" s="190" t="str">
        <f t="shared" ref="S281" si="159">IF(AND(ISNUMBER(O281),ISNUMBER(Q281)),ROUND((O281+Q281)/2, 1),"")</f>
        <v/>
      </c>
      <c r="T281" s="44"/>
    </row>
    <row r="282" spans="1:20" ht="16.5" customHeight="1">
      <c r="A282" s="303"/>
      <c r="B282" s="34"/>
      <c r="C282" s="35" t="s">
        <v>309</v>
      </c>
      <c r="D282" s="36" t="s">
        <v>24</v>
      </c>
      <c r="E282" s="36" t="s">
        <v>303</v>
      </c>
      <c r="F282" s="231" t="s">
        <v>149</v>
      </c>
      <c r="G282" t="s">
        <v>457</v>
      </c>
      <c r="H282" s="35"/>
      <c r="I282" s="35" t="s">
        <v>132</v>
      </c>
      <c r="J282" s="35" t="s">
        <v>87</v>
      </c>
      <c r="K282" s="159" t="e">
        <f t="shared" si="147"/>
        <v>#N/A</v>
      </c>
      <c r="L282" s="159" t="e">
        <f t="shared" si="148"/>
        <v>#N/A</v>
      </c>
      <c r="M282" s="160">
        <v>8</v>
      </c>
      <c r="N282" s="191">
        <v>3.25</v>
      </c>
      <c r="O282" s="190" t="str">
        <f t="shared" si="157"/>
        <v/>
      </c>
      <c r="P282" s="191">
        <v>4.875</v>
      </c>
      <c r="Q282" s="190" t="str">
        <f t="shared" si="158"/>
        <v/>
      </c>
      <c r="R282" s="191"/>
      <c r="S282" s="190" t="str">
        <f t="shared" ref="S282" si="160">IF(AND(ISNUMBER(O282),ISNUMBER(Q282)),ROUND((O282+Q282)/2, 1),"")</f>
        <v/>
      </c>
      <c r="T282" s="44"/>
    </row>
    <row r="283" spans="1:20" ht="26">
      <c r="A283" s="303"/>
      <c r="B283" s="34"/>
      <c r="C283" s="35" t="s">
        <v>309</v>
      </c>
      <c r="D283" s="36" t="s">
        <v>24</v>
      </c>
      <c r="E283" s="257" t="s">
        <v>458</v>
      </c>
      <c r="F283" s="231" t="s">
        <v>149</v>
      </c>
      <c r="G283" s="258"/>
      <c r="H283" s="258" t="s">
        <v>459</v>
      </c>
      <c r="I283" s="35" t="s">
        <v>132</v>
      </c>
      <c r="J283" s="35"/>
      <c r="K283" s="159">
        <v>3</v>
      </c>
      <c r="L283" s="159">
        <v>5</v>
      </c>
      <c r="M283" s="160">
        <v>1</v>
      </c>
      <c r="N283" s="191"/>
      <c r="O283" s="190">
        <f t="shared" ref="O283" si="161">IF(AND($I283="In",ISNUMBER($K283)),$M283*$K283,"")</f>
        <v>3</v>
      </c>
      <c r="P283" s="191"/>
      <c r="Q283" s="190">
        <f t="shared" ref="Q283" si="162">IF(AND($I283="In",ISNUMBER($L283)),$M283*$L283,"")</f>
        <v>5</v>
      </c>
      <c r="R283" s="191"/>
      <c r="S283" s="190">
        <f t="shared" si="141"/>
        <v>4</v>
      </c>
      <c r="T283" s="44"/>
    </row>
    <row r="284" spans="1:20" ht="26">
      <c r="A284" s="303"/>
      <c r="B284" s="34"/>
      <c r="C284" s="35" t="s">
        <v>309</v>
      </c>
      <c r="D284" s="36" t="s">
        <v>24</v>
      </c>
      <c r="E284" s="257" t="s">
        <v>460</v>
      </c>
      <c r="F284" s="231" t="s">
        <v>149</v>
      </c>
      <c r="G284" s="258"/>
      <c r="H284" s="258" t="s">
        <v>461</v>
      </c>
      <c r="I284" s="35" t="s">
        <v>132</v>
      </c>
      <c r="J284" s="35"/>
      <c r="K284" s="159">
        <v>3</v>
      </c>
      <c r="L284" s="159">
        <v>5</v>
      </c>
      <c r="M284" s="160">
        <v>1</v>
      </c>
      <c r="N284" s="191"/>
      <c r="O284" s="190">
        <f t="shared" ref="O284" si="163">IF(AND($I284="In",ISNUMBER($K284)),$M284*$K284,"")</f>
        <v>3</v>
      </c>
      <c r="P284" s="191"/>
      <c r="Q284" s="190">
        <f t="shared" ref="Q284" si="164">IF(AND($I284="In",ISNUMBER($L284)),$M284*$L284,"")</f>
        <v>5</v>
      </c>
      <c r="R284" s="191"/>
      <c r="S284" s="190">
        <f t="shared" si="141"/>
        <v>4</v>
      </c>
      <c r="T284" s="44"/>
    </row>
    <row r="285" spans="1:20" ht="26">
      <c r="A285" s="303"/>
      <c r="B285" s="34"/>
      <c r="C285" s="35" t="s">
        <v>309</v>
      </c>
      <c r="D285" s="36" t="s">
        <v>24</v>
      </c>
      <c r="E285" s="257" t="s">
        <v>462</v>
      </c>
      <c r="F285" s="231" t="s">
        <v>149</v>
      </c>
      <c r="G285" s="258"/>
      <c r="H285" s="258" t="s">
        <v>463</v>
      </c>
      <c r="I285" s="35" t="s">
        <v>132</v>
      </c>
      <c r="J285" s="35"/>
      <c r="K285" s="159">
        <v>5</v>
      </c>
      <c r="L285" s="159">
        <v>8</v>
      </c>
      <c r="M285" s="160">
        <v>1</v>
      </c>
      <c r="N285" s="191"/>
      <c r="O285" s="190">
        <f t="shared" ref="O285:O292" si="165">IF(AND($I285="In",ISNUMBER($K285)),$M285*$K285,"")</f>
        <v>5</v>
      </c>
      <c r="P285" s="191"/>
      <c r="Q285" s="190">
        <f t="shared" ref="Q285:Q292" si="166">IF(AND($I285="In",ISNUMBER($L285)),$M285*$L285,"")</f>
        <v>8</v>
      </c>
      <c r="R285" s="191"/>
      <c r="S285" s="190">
        <f t="shared" si="141"/>
        <v>6.5</v>
      </c>
      <c r="T285" s="44"/>
    </row>
    <row r="286" spans="1:20" ht="26">
      <c r="A286" s="303"/>
      <c r="B286" s="34"/>
      <c r="C286" s="35" t="s">
        <v>309</v>
      </c>
      <c r="D286" s="36" t="s">
        <v>24</v>
      </c>
      <c r="E286" s="36" t="s">
        <v>284</v>
      </c>
      <c r="F286" s="231" t="s">
        <v>149</v>
      </c>
      <c r="G286" s="36"/>
      <c r="H286" s="35"/>
      <c r="I286" s="35" t="s">
        <v>132</v>
      </c>
      <c r="J286" s="35" t="s">
        <v>87</v>
      </c>
      <c r="K286" s="159" t="e">
        <f t="shared" ref="K286:K292" si="167">IF(NOT(ISBLANK(J286)),VLOOKUP(J286, metrics_lookup_table, 4, FALSE))</f>
        <v>#N/A</v>
      </c>
      <c r="L286" s="159" t="e">
        <f t="shared" ref="L286:L292" si="168">IF(NOT(ISBLANK(J286)),VLOOKUP(J286, metrics_lookup_table, 5, FALSE))</f>
        <v>#N/A</v>
      </c>
      <c r="M286" s="160">
        <v>1</v>
      </c>
      <c r="N286" s="191">
        <v>3.25</v>
      </c>
      <c r="O286" s="190" t="str">
        <f t="shared" si="165"/>
        <v/>
      </c>
      <c r="P286" s="191">
        <v>4.875</v>
      </c>
      <c r="Q286" s="190" t="str">
        <f t="shared" si="166"/>
        <v/>
      </c>
      <c r="R286" s="191"/>
      <c r="S286" s="190" t="str">
        <f t="shared" si="141"/>
        <v/>
      </c>
      <c r="T286" s="44"/>
    </row>
    <row r="287" spans="1:20" ht="26">
      <c r="A287" s="303"/>
      <c r="B287" s="34"/>
      <c r="C287" s="35" t="s">
        <v>309</v>
      </c>
      <c r="D287" s="36" t="s">
        <v>24</v>
      </c>
      <c r="E287" s="36" t="s">
        <v>285</v>
      </c>
      <c r="F287" s="231" t="s">
        <v>149</v>
      </c>
      <c r="G287" s="36"/>
      <c r="H287" s="258" t="s">
        <v>464</v>
      </c>
      <c r="I287" s="35" t="s">
        <v>132</v>
      </c>
      <c r="J287" s="35" t="s">
        <v>77</v>
      </c>
      <c r="K287" s="159" t="e">
        <f t="shared" si="167"/>
        <v>#N/A</v>
      </c>
      <c r="L287" s="159" t="e">
        <f t="shared" si="168"/>
        <v>#N/A</v>
      </c>
      <c r="M287" s="160">
        <v>1</v>
      </c>
      <c r="N287" s="191">
        <v>1.5625</v>
      </c>
      <c r="O287" s="190" t="str">
        <f t="shared" si="165"/>
        <v/>
      </c>
      <c r="P287" s="191">
        <v>2.625</v>
      </c>
      <c r="Q287" s="190" t="str">
        <f t="shared" si="166"/>
        <v/>
      </c>
      <c r="R287" s="191"/>
      <c r="S287" s="190" t="str">
        <f t="shared" si="141"/>
        <v/>
      </c>
      <c r="T287" s="44"/>
    </row>
    <row r="288" spans="1:20" ht="26">
      <c r="A288" s="303"/>
      <c r="B288" s="34"/>
      <c r="C288" s="35" t="s">
        <v>309</v>
      </c>
      <c r="D288" s="36" t="s">
        <v>24</v>
      </c>
      <c r="E288" s="36" t="s">
        <v>286</v>
      </c>
      <c r="F288" s="231" t="s">
        <v>149</v>
      </c>
      <c r="G288" s="36"/>
      <c r="H288" s="258" t="s">
        <v>464</v>
      </c>
      <c r="I288" s="35" t="s">
        <v>132</v>
      </c>
      <c r="J288" s="35" t="s">
        <v>77</v>
      </c>
      <c r="K288" s="159" t="e">
        <f t="shared" si="167"/>
        <v>#N/A</v>
      </c>
      <c r="L288" s="159" t="e">
        <f t="shared" si="168"/>
        <v>#N/A</v>
      </c>
      <c r="M288" s="160">
        <v>1</v>
      </c>
      <c r="N288" s="191">
        <v>1.5625</v>
      </c>
      <c r="O288" s="190" t="str">
        <f t="shared" si="165"/>
        <v/>
      </c>
      <c r="P288" s="191">
        <v>2.625</v>
      </c>
      <c r="Q288" s="190" t="str">
        <f t="shared" si="166"/>
        <v/>
      </c>
      <c r="R288" s="191"/>
      <c r="S288" s="190" t="str">
        <f t="shared" si="141"/>
        <v/>
      </c>
      <c r="T288" s="44"/>
    </row>
    <row r="289" spans="1:20" ht="26">
      <c r="A289" s="303"/>
      <c r="B289" s="34"/>
      <c r="C289" s="35" t="s">
        <v>309</v>
      </c>
      <c r="D289" s="36" t="s">
        <v>24</v>
      </c>
      <c r="E289" s="36" t="s">
        <v>287</v>
      </c>
      <c r="F289" s="231" t="s">
        <v>149</v>
      </c>
      <c r="G289" s="36"/>
      <c r="H289" s="35"/>
      <c r="I289" s="35" t="s">
        <v>132</v>
      </c>
      <c r="J289" s="35" t="s">
        <v>77</v>
      </c>
      <c r="K289" s="159" t="e">
        <f t="shared" si="167"/>
        <v>#N/A</v>
      </c>
      <c r="L289" s="159" t="e">
        <f t="shared" si="168"/>
        <v>#N/A</v>
      </c>
      <c r="M289" s="160">
        <v>1</v>
      </c>
      <c r="N289" s="191">
        <v>1.5625</v>
      </c>
      <c r="O289" s="190" t="str">
        <f t="shared" si="165"/>
        <v/>
      </c>
      <c r="P289" s="191">
        <v>2.625</v>
      </c>
      <c r="Q289" s="190" t="str">
        <f t="shared" si="166"/>
        <v/>
      </c>
      <c r="R289" s="191"/>
      <c r="S289" s="190" t="str">
        <f t="shared" si="141"/>
        <v/>
      </c>
      <c r="T289" s="44"/>
    </row>
    <row r="290" spans="1:20" ht="26">
      <c r="A290" s="303"/>
      <c r="B290" s="34"/>
      <c r="C290" s="35" t="s">
        <v>309</v>
      </c>
      <c r="D290" s="36" t="s">
        <v>24</v>
      </c>
      <c r="E290" s="36" t="s">
        <v>298</v>
      </c>
      <c r="F290" s="231" t="s">
        <v>149</v>
      </c>
      <c r="G290" s="36"/>
      <c r="H290" s="258" t="s">
        <v>465</v>
      </c>
      <c r="I290" s="35" t="s">
        <v>132</v>
      </c>
      <c r="J290" s="35" t="s">
        <v>87</v>
      </c>
      <c r="K290" s="159" t="e">
        <f t="shared" si="167"/>
        <v>#N/A</v>
      </c>
      <c r="L290" s="159" t="e">
        <f t="shared" si="168"/>
        <v>#N/A</v>
      </c>
      <c r="M290" s="160">
        <v>1</v>
      </c>
      <c r="N290" s="191">
        <v>3.25</v>
      </c>
      <c r="O290" s="190" t="str">
        <f t="shared" si="165"/>
        <v/>
      </c>
      <c r="P290" s="191">
        <v>4.875</v>
      </c>
      <c r="Q290" s="190" t="str">
        <f t="shared" si="166"/>
        <v/>
      </c>
      <c r="R290" s="191"/>
      <c r="S290" s="190" t="str">
        <f t="shared" si="141"/>
        <v/>
      </c>
      <c r="T290" s="44"/>
    </row>
    <row r="291" spans="1:20" ht="26">
      <c r="A291" s="303"/>
      <c r="B291" s="34"/>
      <c r="C291" s="35" t="s">
        <v>309</v>
      </c>
      <c r="D291" s="36" t="s">
        <v>24</v>
      </c>
      <c r="E291" s="36" t="s">
        <v>299</v>
      </c>
      <c r="F291" s="231" t="s">
        <v>149</v>
      </c>
      <c r="G291" s="36"/>
      <c r="H291" s="258"/>
      <c r="I291" s="35" t="s">
        <v>132</v>
      </c>
      <c r="J291" s="35" t="s">
        <v>92</v>
      </c>
      <c r="K291" s="159" t="e">
        <f t="shared" si="167"/>
        <v>#N/A</v>
      </c>
      <c r="L291" s="159" t="e">
        <f t="shared" si="168"/>
        <v>#N/A</v>
      </c>
      <c r="M291" s="160">
        <v>1</v>
      </c>
      <c r="N291" s="191">
        <v>6</v>
      </c>
      <c r="O291" s="190" t="str">
        <f t="shared" si="165"/>
        <v/>
      </c>
      <c r="P291" s="191">
        <v>8.375</v>
      </c>
      <c r="Q291" s="190" t="str">
        <f t="shared" si="166"/>
        <v/>
      </c>
      <c r="R291" s="191"/>
      <c r="S291" s="190" t="str">
        <f t="shared" si="141"/>
        <v/>
      </c>
      <c r="T291" s="44"/>
    </row>
    <row r="292" spans="1:20" ht="26">
      <c r="A292" s="303"/>
      <c r="B292" s="34"/>
      <c r="C292" s="35" t="s">
        <v>309</v>
      </c>
      <c r="D292" s="36" t="s">
        <v>24</v>
      </c>
      <c r="E292" s="36" t="s">
        <v>306</v>
      </c>
      <c r="F292" s="231" t="s">
        <v>149</v>
      </c>
      <c r="G292" s="36"/>
      <c r="H292" s="35"/>
      <c r="I292" s="35" t="s">
        <v>132</v>
      </c>
      <c r="J292" s="35" t="s">
        <v>77</v>
      </c>
      <c r="K292" s="159" t="e">
        <f t="shared" si="167"/>
        <v>#N/A</v>
      </c>
      <c r="L292" s="159" t="e">
        <f t="shared" si="168"/>
        <v>#N/A</v>
      </c>
      <c r="M292" s="160">
        <v>1</v>
      </c>
      <c r="N292" s="191">
        <v>1.5625</v>
      </c>
      <c r="O292" s="190" t="str">
        <f t="shared" si="165"/>
        <v/>
      </c>
      <c r="P292" s="191">
        <v>2.625</v>
      </c>
      <c r="Q292" s="190" t="str">
        <f t="shared" si="166"/>
        <v/>
      </c>
      <c r="R292" s="191"/>
      <c r="S292" s="190" t="str">
        <f t="shared" si="141"/>
        <v/>
      </c>
      <c r="T292" s="44"/>
    </row>
    <row r="293" spans="1:20" ht="26">
      <c r="A293" s="23"/>
      <c r="B293" s="34"/>
      <c r="C293" s="35" t="s">
        <v>309</v>
      </c>
      <c r="D293" s="36" t="s">
        <v>24</v>
      </c>
      <c r="E293" s="231" t="s">
        <v>466</v>
      </c>
      <c r="F293" s="231" t="s">
        <v>149</v>
      </c>
      <c r="G293" s="36"/>
      <c r="H293" s="35"/>
      <c r="I293" s="35" t="s">
        <v>132</v>
      </c>
      <c r="J293" s="35"/>
      <c r="K293" s="159"/>
      <c r="L293" s="159"/>
      <c r="M293" s="160">
        <v>1</v>
      </c>
      <c r="N293" s="191"/>
      <c r="O293" s="190" t="str">
        <f t="shared" si="58"/>
        <v/>
      </c>
      <c r="P293" s="191"/>
      <c r="Q293" s="190" t="str">
        <f t="shared" si="59"/>
        <v/>
      </c>
      <c r="R293" s="191"/>
      <c r="S293" s="190" t="str">
        <f t="shared" si="141"/>
        <v/>
      </c>
      <c r="T293" s="44"/>
    </row>
    <row r="294" spans="1:20" ht="26">
      <c r="A294" s="23"/>
      <c r="B294" s="34"/>
      <c r="C294" s="35" t="s">
        <v>309</v>
      </c>
      <c r="D294" s="36" t="s">
        <v>24</v>
      </c>
      <c r="E294" s="36" t="s">
        <v>467</v>
      </c>
      <c r="F294" s="231" t="s">
        <v>149</v>
      </c>
      <c r="G294" s="36" t="s">
        <v>468</v>
      </c>
      <c r="H294" s="35"/>
      <c r="I294" s="272" t="s">
        <v>137</v>
      </c>
      <c r="J294" s="35"/>
      <c r="K294" s="159">
        <v>2</v>
      </c>
      <c r="L294" s="159">
        <v>3</v>
      </c>
      <c r="M294" s="160">
        <v>1</v>
      </c>
      <c r="N294" s="191"/>
      <c r="O294" s="190" t="str">
        <f t="shared" si="58"/>
        <v/>
      </c>
      <c r="P294" s="191"/>
      <c r="Q294" s="190" t="str">
        <f t="shared" si="59"/>
        <v/>
      </c>
      <c r="R294" s="191"/>
      <c r="S294" s="190" t="str">
        <f t="shared" si="141"/>
        <v/>
      </c>
      <c r="T294" s="44"/>
    </row>
    <row r="295" spans="1:20" ht="26">
      <c r="A295" s="23"/>
      <c r="B295" s="34"/>
      <c r="C295" s="35" t="s">
        <v>309</v>
      </c>
      <c r="D295" s="36" t="s">
        <v>24</v>
      </c>
      <c r="E295" s="36" t="s">
        <v>469</v>
      </c>
      <c r="F295" s="231" t="s">
        <v>149</v>
      </c>
      <c r="G295" s="36"/>
      <c r="H295" s="35"/>
      <c r="I295" s="272" t="s">
        <v>137</v>
      </c>
      <c r="J295" s="35"/>
      <c r="K295" s="159">
        <v>5</v>
      </c>
      <c r="L295" s="159">
        <v>8</v>
      </c>
      <c r="M295" s="160">
        <v>1</v>
      </c>
      <c r="N295" s="191"/>
      <c r="O295" s="190" t="str">
        <f t="shared" si="58"/>
        <v/>
      </c>
      <c r="P295" s="191"/>
      <c r="Q295" s="190" t="str">
        <f t="shared" si="59"/>
        <v/>
      </c>
      <c r="R295" s="191"/>
      <c r="S295" s="190" t="str">
        <f t="shared" si="141"/>
        <v/>
      </c>
      <c r="T295" s="44"/>
    </row>
    <row r="296" spans="1:20" ht="39">
      <c r="A296" s="23"/>
      <c r="B296" s="34"/>
      <c r="C296" s="35" t="s">
        <v>309</v>
      </c>
      <c r="D296" s="36" t="s">
        <v>24</v>
      </c>
      <c r="E296" s="36" t="s">
        <v>470</v>
      </c>
      <c r="F296" s="231" t="s">
        <v>149</v>
      </c>
      <c r="G296" s="36" t="s">
        <v>471</v>
      </c>
      <c r="H296" s="35"/>
      <c r="I296" s="272" t="s">
        <v>137</v>
      </c>
      <c r="J296" s="35"/>
      <c r="K296" s="233">
        <v>20</v>
      </c>
      <c r="L296" s="233">
        <v>30</v>
      </c>
      <c r="M296" s="160">
        <v>1</v>
      </c>
      <c r="N296" s="191"/>
      <c r="O296" s="190" t="str">
        <f t="shared" si="58"/>
        <v/>
      </c>
      <c r="P296" s="191"/>
      <c r="Q296" s="190" t="str">
        <f t="shared" si="59"/>
        <v/>
      </c>
      <c r="R296" s="191"/>
      <c r="S296" s="190" t="str">
        <f t="shared" si="141"/>
        <v/>
      </c>
      <c r="T296" s="44" t="s">
        <v>472</v>
      </c>
    </row>
    <row r="297" spans="1:20" ht="26">
      <c r="A297" s="23"/>
      <c r="B297" s="34"/>
      <c r="C297" s="35" t="s">
        <v>309</v>
      </c>
      <c r="D297" s="36" t="s">
        <v>25</v>
      </c>
      <c r="E297" s="36" t="s">
        <v>473</v>
      </c>
      <c r="F297" s="231" t="s">
        <v>149</v>
      </c>
      <c r="G297" s="36"/>
      <c r="H297" s="35"/>
      <c r="I297" s="272" t="s">
        <v>137</v>
      </c>
      <c r="J297" s="35"/>
      <c r="K297" s="159">
        <v>7</v>
      </c>
      <c r="L297" s="159">
        <v>12</v>
      </c>
      <c r="M297" s="160">
        <v>1</v>
      </c>
      <c r="N297" s="191"/>
      <c r="O297" s="190" t="str">
        <f t="shared" si="58"/>
        <v/>
      </c>
      <c r="P297" s="191"/>
      <c r="Q297" s="190" t="str">
        <f t="shared" si="59"/>
        <v/>
      </c>
      <c r="R297" s="191"/>
      <c r="S297" s="190" t="str">
        <f t="shared" si="141"/>
        <v/>
      </c>
      <c r="T297" s="44"/>
    </row>
    <row r="298" spans="1:20" ht="26">
      <c r="A298" s="23"/>
      <c r="B298" s="34"/>
      <c r="C298" s="35" t="s">
        <v>474</v>
      </c>
      <c r="D298" s="36" t="s">
        <v>25</v>
      </c>
      <c r="E298" s="36" t="s">
        <v>475</v>
      </c>
      <c r="F298" s="231" t="s">
        <v>149</v>
      </c>
      <c r="G298" s="36"/>
      <c r="H298" s="35"/>
      <c r="I298" s="35" t="s">
        <v>132</v>
      </c>
      <c r="J298" s="35"/>
      <c r="K298" s="261">
        <v>8</v>
      </c>
      <c r="L298" s="261">
        <v>12</v>
      </c>
      <c r="M298" s="160">
        <v>1</v>
      </c>
      <c r="N298" s="191"/>
      <c r="O298" s="190">
        <f t="shared" ref="O298:O299" si="169">IF(AND($I298="In",ISNUMBER($K298)),$M298*$K298,"")</f>
        <v>8</v>
      </c>
      <c r="P298" s="191"/>
      <c r="Q298" s="190">
        <f t="shared" ref="Q298:Q299" si="170">IF(AND($I298="In",ISNUMBER($L298)),$M298*$L298,"")</f>
        <v>12</v>
      </c>
      <c r="R298" s="191"/>
      <c r="S298" s="190">
        <f t="shared" ref="S298" si="171">IF(AND(ISNUMBER(O298),ISNUMBER(Q298)),ROUND((O298+Q298)/2, 1),"")</f>
        <v>10</v>
      </c>
      <c r="T298" s="44"/>
    </row>
    <row r="299" spans="1:20" ht="26">
      <c r="A299" s="23"/>
      <c r="B299" s="34"/>
      <c r="C299" s="35" t="s">
        <v>474</v>
      </c>
      <c r="D299" s="36" t="s">
        <v>25</v>
      </c>
      <c r="E299" s="36" t="s">
        <v>476</v>
      </c>
      <c r="F299" s="231" t="s">
        <v>149</v>
      </c>
      <c r="G299" s="36"/>
      <c r="H299" s="35"/>
      <c r="I299" s="35" t="s">
        <v>132</v>
      </c>
      <c r="J299" s="35"/>
      <c r="K299" s="261">
        <v>7</v>
      </c>
      <c r="L299" s="261">
        <v>12</v>
      </c>
      <c r="M299" s="160">
        <v>1</v>
      </c>
      <c r="N299" s="191"/>
      <c r="O299" s="190">
        <f t="shared" si="169"/>
        <v>7</v>
      </c>
      <c r="P299" s="191"/>
      <c r="Q299" s="190">
        <f t="shared" si="170"/>
        <v>12</v>
      </c>
      <c r="R299" s="191"/>
      <c r="S299" s="190">
        <f t="shared" ref="S299" si="172">IF(AND(ISNUMBER(O299),ISNUMBER(Q299)),ROUND((O299+Q299)/2, 1),"")</f>
        <v>9.5</v>
      </c>
      <c r="T299" s="44"/>
    </row>
    <row r="300" spans="1:20" ht="26">
      <c r="A300" s="23"/>
      <c r="B300" s="34" t="s">
        <v>330</v>
      </c>
      <c r="C300" s="35" t="s">
        <v>474</v>
      </c>
      <c r="D300" s="36" t="s">
        <v>25</v>
      </c>
      <c r="E300" s="36" t="s">
        <v>477</v>
      </c>
      <c r="F300" s="231" t="s">
        <v>149</v>
      </c>
      <c r="G300" s="36"/>
      <c r="H300" s="35"/>
      <c r="I300" s="35" t="s">
        <v>132</v>
      </c>
      <c r="J300" s="35"/>
      <c r="K300" s="159">
        <v>0.88100000000000001</v>
      </c>
      <c r="L300" s="159">
        <v>1.2619</v>
      </c>
      <c r="M300" s="160">
        <v>6</v>
      </c>
      <c r="N300" s="191"/>
      <c r="O300" s="190">
        <f t="shared" ref="O300:O309" si="173">IF(AND($I300="In",ISNUMBER($K300)),$M300*$K300,"")</f>
        <v>5.2859999999999996</v>
      </c>
      <c r="P300" s="191"/>
      <c r="Q300" s="190">
        <f t="shared" ref="Q300:Q308" si="174">IF(AND($I300="In",ISNUMBER($L300)),$M300*$L300,"")</f>
        <v>7.5714000000000006</v>
      </c>
      <c r="R300" s="191"/>
      <c r="S300" s="190">
        <f t="shared" ref="S300:S301" si="175">IF(AND(ISNUMBER(O300),ISNUMBER(Q300)),ROUND((O300+Q300)/2, 1),"")</f>
        <v>6.4</v>
      </c>
      <c r="T300" s="44"/>
    </row>
    <row r="301" spans="1:20">
      <c r="A301" s="23"/>
      <c r="B301" s="34" t="s">
        <v>330</v>
      </c>
      <c r="C301" s="35" t="s">
        <v>474</v>
      </c>
      <c r="D301" s="36" t="s">
        <v>25</v>
      </c>
      <c r="E301" s="36" t="s">
        <v>478</v>
      </c>
      <c r="F301" s="231" t="s">
        <v>135</v>
      </c>
      <c r="G301" s="36"/>
      <c r="H301" s="35"/>
      <c r="I301" s="35" t="s">
        <v>132</v>
      </c>
      <c r="J301" s="35"/>
      <c r="K301" s="159">
        <v>1.2262</v>
      </c>
      <c r="L301" s="159">
        <v>1.9523999999999999</v>
      </c>
      <c r="M301" s="160">
        <v>3</v>
      </c>
      <c r="N301" s="191"/>
      <c r="O301" s="190">
        <f t="shared" si="173"/>
        <v>3.6785999999999999</v>
      </c>
      <c r="P301" s="191"/>
      <c r="Q301" s="190">
        <f t="shared" si="174"/>
        <v>5.8571999999999997</v>
      </c>
      <c r="R301" s="191"/>
      <c r="S301" s="190">
        <f t="shared" si="175"/>
        <v>4.8</v>
      </c>
      <c r="T301" s="44"/>
    </row>
    <row r="302" spans="1:20" ht="26">
      <c r="A302" s="23"/>
      <c r="B302" s="34" t="s">
        <v>330</v>
      </c>
      <c r="C302" s="35" t="s">
        <v>474</v>
      </c>
      <c r="D302" s="36" t="s">
        <v>25</v>
      </c>
      <c r="E302" s="36" t="s">
        <v>478</v>
      </c>
      <c r="F302" s="231" t="s">
        <v>149</v>
      </c>
      <c r="G302" s="36"/>
      <c r="H302" s="35"/>
      <c r="I302" s="35" t="s">
        <v>132</v>
      </c>
      <c r="J302" s="35"/>
      <c r="K302" s="159">
        <v>1.2262</v>
      </c>
      <c r="L302" s="159">
        <v>1.9523999999999999</v>
      </c>
      <c r="M302" s="160">
        <v>6</v>
      </c>
      <c r="N302" s="191"/>
      <c r="O302" s="190">
        <f t="shared" si="173"/>
        <v>7.3571999999999997</v>
      </c>
      <c r="P302" s="191"/>
      <c r="Q302" s="190">
        <f t="shared" si="174"/>
        <v>11.714399999999999</v>
      </c>
      <c r="R302" s="191"/>
      <c r="S302" s="190">
        <f t="shared" ref="S302" si="176">IF(AND(ISNUMBER(O302),ISNUMBER(Q302)),ROUND((O302+Q302)/2, 1),"")</f>
        <v>9.5</v>
      </c>
      <c r="T302" s="44"/>
    </row>
    <row r="303" spans="1:20" ht="26">
      <c r="A303" s="23"/>
      <c r="B303" s="34" t="s">
        <v>330</v>
      </c>
      <c r="C303" s="35" t="s">
        <v>474</v>
      </c>
      <c r="D303" s="36" t="s">
        <v>25</v>
      </c>
      <c r="E303" s="36" t="s">
        <v>479</v>
      </c>
      <c r="F303" s="231" t="s">
        <v>149</v>
      </c>
      <c r="G303" s="289"/>
      <c r="H303" s="35"/>
      <c r="I303" s="35" t="s">
        <v>132</v>
      </c>
      <c r="J303" s="35"/>
      <c r="K303" s="159">
        <v>1.0238</v>
      </c>
      <c r="L303" s="159">
        <v>1.5476000000000001</v>
      </c>
      <c r="M303" s="160">
        <v>4</v>
      </c>
      <c r="N303" s="191"/>
      <c r="O303" s="190">
        <f t="shared" si="173"/>
        <v>4.0952000000000002</v>
      </c>
      <c r="P303" s="191"/>
      <c r="Q303" s="190">
        <f t="shared" si="174"/>
        <v>6.1904000000000003</v>
      </c>
      <c r="R303" s="191"/>
      <c r="S303" s="190">
        <f t="shared" ref="S303:S307" si="177">IF(AND(ISNUMBER(O303),ISNUMBER(Q303)),ROUND((O303+Q303)/2, 1),"")</f>
        <v>5.0999999999999996</v>
      </c>
      <c r="T303" s="44"/>
    </row>
    <row r="304" spans="1:20">
      <c r="A304" s="23"/>
      <c r="B304" s="34" t="s">
        <v>330</v>
      </c>
      <c r="C304" s="35" t="s">
        <v>474</v>
      </c>
      <c r="D304" s="36" t="s">
        <v>25</v>
      </c>
      <c r="E304" s="36" t="s">
        <v>480</v>
      </c>
      <c r="F304" s="231" t="s">
        <v>135</v>
      </c>
      <c r="G304" s="289" t="s">
        <v>481</v>
      </c>
      <c r="H304" s="35"/>
      <c r="I304" s="35" t="s">
        <v>132</v>
      </c>
      <c r="J304" s="35"/>
      <c r="K304" s="159">
        <v>1.0238</v>
      </c>
      <c r="L304" s="159">
        <v>1.5476000000000001</v>
      </c>
      <c r="M304" s="160">
        <v>15</v>
      </c>
      <c r="N304" s="191"/>
      <c r="O304" s="190">
        <f t="shared" si="173"/>
        <v>15.357000000000001</v>
      </c>
      <c r="P304" s="191"/>
      <c r="Q304" s="190">
        <f t="shared" si="174"/>
        <v>23.214000000000002</v>
      </c>
      <c r="R304" s="191"/>
      <c r="S304" s="190">
        <f t="shared" ref="S304" si="178">IF(AND(ISNUMBER(O304),ISNUMBER(Q304)),ROUND((O304+Q304)/2, 1),"")</f>
        <v>19.3</v>
      </c>
      <c r="T304" s="44"/>
    </row>
    <row r="305" spans="1:20" ht="26">
      <c r="A305" s="23"/>
      <c r="B305" s="34" t="s">
        <v>330</v>
      </c>
      <c r="C305" s="35" t="s">
        <v>474</v>
      </c>
      <c r="D305" s="36" t="s">
        <v>25</v>
      </c>
      <c r="E305" s="36" t="s">
        <v>480</v>
      </c>
      <c r="F305" s="231" t="s">
        <v>149</v>
      </c>
      <c r="G305" s="289" t="s">
        <v>481</v>
      </c>
      <c r="H305" s="35"/>
      <c r="I305" s="35" t="s">
        <v>132</v>
      </c>
      <c r="J305" s="35"/>
      <c r="K305" s="159">
        <v>1.0238</v>
      </c>
      <c r="L305" s="159">
        <v>1.5476000000000001</v>
      </c>
      <c r="M305" s="160">
        <v>9</v>
      </c>
      <c r="N305" s="191"/>
      <c r="O305" s="190">
        <f t="shared" si="173"/>
        <v>9.2141999999999999</v>
      </c>
      <c r="P305" s="191"/>
      <c r="Q305" s="190">
        <f t="shared" si="174"/>
        <v>13.9284</v>
      </c>
      <c r="R305" s="191"/>
      <c r="S305" s="190">
        <f t="shared" si="177"/>
        <v>11.6</v>
      </c>
      <c r="T305" s="44"/>
    </row>
    <row r="306" spans="1:20">
      <c r="A306" s="23"/>
      <c r="B306" s="34" t="s">
        <v>330</v>
      </c>
      <c r="C306" s="35" t="s">
        <v>474</v>
      </c>
      <c r="D306" s="36" t="s">
        <v>25</v>
      </c>
      <c r="E306" s="36" t="s">
        <v>482</v>
      </c>
      <c r="F306" s="231" t="s">
        <v>135</v>
      </c>
      <c r="G306" s="289" t="s">
        <v>483</v>
      </c>
      <c r="H306" s="35"/>
      <c r="I306" s="35" t="s">
        <v>132</v>
      </c>
      <c r="J306" s="35"/>
      <c r="K306" s="159">
        <v>1.6548</v>
      </c>
      <c r="L306" s="159">
        <v>2.5238</v>
      </c>
      <c r="M306" s="160">
        <v>12</v>
      </c>
      <c r="N306" s="191"/>
      <c r="O306" s="190">
        <f t="shared" si="173"/>
        <v>19.857600000000001</v>
      </c>
      <c r="P306" s="191"/>
      <c r="Q306" s="190">
        <f t="shared" si="174"/>
        <v>30.285600000000002</v>
      </c>
      <c r="R306" s="191"/>
      <c r="S306" s="190">
        <f t="shared" ref="S306" si="179">IF(AND(ISNUMBER(O306),ISNUMBER(Q306)),ROUND((O306+Q306)/2, 1),"")</f>
        <v>25.1</v>
      </c>
      <c r="T306" s="44"/>
    </row>
    <row r="307" spans="1:20" ht="26">
      <c r="A307" s="23"/>
      <c r="B307" s="34" t="s">
        <v>330</v>
      </c>
      <c r="C307" s="35" t="s">
        <v>474</v>
      </c>
      <c r="D307" s="36" t="s">
        <v>25</v>
      </c>
      <c r="E307" s="36" t="s">
        <v>482</v>
      </c>
      <c r="F307" s="231" t="s">
        <v>149</v>
      </c>
      <c r="G307" s="289" t="s">
        <v>483</v>
      </c>
      <c r="H307" s="35"/>
      <c r="I307" s="35" t="s">
        <v>132</v>
      </c>
      <c r="J307" s="35"/>
      <c r="K307" s="159">
        <v>1.6548</v>
      </c>
      <c r="L307" s="159">
        <v>2.5238</v>
      </c>
      <c r="M307" s="160">
        <v>32</v>
      </c>
      <c r="N307" s="191"/>
      <c r="O307" s="190">
        <f t="shared" si="173"/>
        <v>52.953600000000002</v>
      </c>
      <c r="P307" s="191"/>
      <c r="Q307" s="190">
        <f t="shared" si="174"/>
        <v>80.761600000000001</v>
      </c>
      <c r="R307" s="191"/>
      <c r="S307" s="190">
        <f t="shared" si="177"/>
        <v>66.900000000000006</v>
      </c>
      <c r="T307" s="44"/>
    </row>
    <row r="308" spans="1:20" ht="26">
      <c r="A308" s="23"/>
      <c r="B308" s="34" t="s">
        <v>330</v>
      </c>
      <c r="C308" s="35" t="s">
        <v>474</v>
      </c>
      <c r="D308" s="36" t="s">
        <v>25</v>
      </c>
      <c r="E308" s="36" t="s">
        <v>484</v>
      </c>
      <c r="F308" s="231" t="s">
        <v>149</v>
      </c>
      <c r="G308" s="289" t="s">
        <v>485</v>
      </c>
      <c r="H308" s="35"/>
      <c r="I308" s="35" t="s">
        <v>132</v>
      </c>
      <c r="J308" s="35"/>
      <c r="K308" s="159">
        <v>3.1071</v>
      </c>
      <c r="L308" s="159">
        <v>4</v>
      </c>
      <c r="M308" s="160">
        <v>16</v>
      </c>
      <c r="N308" s="191"/>
      <c r="O308" s="190">
        <f t="shared" si="173"/>
        <v>49.7136</v>
      </c>
      <c r="P308" s="191"/>
      <c r="Q308" s="190">
        <f t="shared" si="174"/>
        <v>64</v>
      </c>
      <c r="R308" s="191"/>
      <c r="S308" s="190">
        <f t="shared" ref="S308" si="180">IF(AND(ISNUMBER(O308),ISNUMBER(Q308)),ROUND((O308+Q308)/2, 1),"")</f>
        <v>56.9</v>
      </c>
      <c r="T308" s="44"/>
    </row>
    <row r="309" spans="1:20" ht="26">
      <c r="A309" s="23"/>
      <c r="B309" s="34" t="s">
        <v>330</v>
      </c>
      <c r="C309" s="35" t="s">
        <v>309</v>
      </c>
      <c r="D309" s="36" t="s">
        <v>25</v>
      </c>
      <c r="E309" s="211" t="str">
        <f>CONCATENATE("Site Dev - ",G309)</f>
        <v>Site Dev - Base Template</v>
      </c>
      <c r="F309" s="231" t="s">
        <v>149</v>
      </c>
      <c r="G309" s="36" t="s">
        <v>380</v>
      </c>
      <c r="H309" s="35"/>
      <c r="I309" s="35" t="s">
        <v>137</v>
      </c>
      <c r="J309" s="35"/>
      <c r="K309" s="159">
        <v>2</v>
      </c>
      <c r="L309" s="159">
        <v>3</v>
      </c>
      <c r="M309" s="160">
        <v>1</v>
      </c>
      <c r="N309" s="191"/>
      <c r="O309" s="190" t="str">
        <f t="shared" si="173"/>
        <v/>
      </c>
      <c r="P309" s="191"/>
      <c r="Q309" s="190" t="str">
        <f t="shared" si="59"/>
        <v/>
      </c>
      <c r="R309" s="191"/>
      <c r="S309" s="190" t="str">
        <f t="shared" ref="S309" si="181">IF(AND(ISNUMBER(O309),ISNUMBER(Q309)),ROUND((O309+Q309)/2, 1),"")</f>
        <v/>
      </c>
      <c r="T309" s="44"/>
    </row>
    <row r="310" spans="1:20" ht="26">
      <c r="A310" s="23"/>
      <c r="B310" s="34" t="s">
        <v>330</v>
      </c>
      <c r="C310" s="35" t="s">
        <v>309</v>
      </c>
      <c r="D310" s="36" t="s">
        <v>25</v>
      </c>
      <c r="E310" s="211" t="str">
        <f t="shared" ref="E310:E374" si="182">CONCATENATE("Site Dev - ",G310)</f>
        <v>Site Dev - 1-col</v>
      </c>
      <c r="F310" s="231" t="s">
        <v>149</v>
      </c>
      <c r="G310" s="36" t="s">
        <v>381</v>
      </c>
      <c r="H310" s="35"/>
      <c r="I310" s="35" t="s">
        <v>137</v>
      </c>
      <c r="J310" s="35"/>
      <c r="K310" s="159">
        <v>2</v>
      </c>
      <c r="L310" s="159">
        <v>3</v>
      </c>
      <c r="M310" s="160">
        <v>1</v>
      </c>
      <c r="N310" s="191"/>
      <c r="O310" s="190" t="str">
        <f t="shared" ref="O310" si="183">IF(AND($I310="In",ISNUMBER($K310)),$M310*$K310,"")</f>
        <v/>
      </c>
      <c r="P310" s="191"/>
      <c r="Q310" s="190" t="str">
        <f t="shared" si="59"/>
        <v/>
      </c>
      <c r="R310" s="191"/>
      <c r="S310" s="190" t="str">
        <f t="shared" ref="S310" si="184">IF(AND(ISNUMBER(O310),ISNUMBER(Q310)),ROUND((O310+Q310)/2, 1),"")</f>
        <v/>
      </c>
      <c r="T310" s="44"/>
    </row>
    <row r="311" spans="1:20" ht="26">
      <c r="A311" s="23"/>
      <c r="B311" s="34" t="s">
        <v>330</v>
      </c>
      <c r="C311" s="35" t="s">
        <v>309</v>
      </c>
      <c r="D311" s="36" t="s">
        <v>25</v>
      </c>
      <c r="E311" s="211" t="str">
        <f t="shared" si="182"/>
        <v>Site Dev - 2-col with navigation</v>
      </c>
      <c r="F311" s="231" t="s">
        <v>149</v>
      </c>
      <c r="G311" s="36" t="s">
        <v>382</v>
      </c>
      <c r="H311" s="35"/>
      <c r="I311" s="35" t="s">
        <v>137</v>
      </c>
      <c r="J311" s="35"/>
      <c r="K311" s="159">
        <v>2</v>
      </c>
      <c r="L311" s="159">
        <v>3</v>
      </c>
      <c r="M311" s="160">
        <v>1</v>
      </c>
      <c r="N311" s="191"/>
      <c r="O311" s="190" t="str">
        <f t="shared" ref="O311" si="185">IF(AND($I311="In",ISNUMBER($K311)),$M311*$K311,"")</f>
        <v/>
      </c>
      <c r="P311" s="191"/>
      <c r="Q311" s="190" t="str">
        <f t="shared" si="59"/>
        <v/>
      </c>
      <c r="R311" s="191"/>
      <c r="S311" s="190" t="str">
        <f t="shared" ref="S311" si="186">IF(AND(ISNUMBER(O311),ISNUMBER(Q311)),ROUND((O311+Q311)/2, 1),"")</f>
        <v/>
      </c>
      <c r="T311" s="44"/>
    </row>
    <row r="312" spans="1:20" ht="26">
      <c r="A312" s="23"/>
      <c r="B312" s="34" t="s">
        <v>330</v>
      </c>
      <c r="C312" s="35" t="s">
        <v>309</v>
      </c>
      <c r="D312" s="36" t="s">
        <v>25</v>
      </c>
      <c r="E312" s="211" t="str">
        <f t="shared" si="182"/>
        <v>Site Dev - Article Page - 2-col with navigation</v>
      </c>
      <c r="F312" s="231" t="s">
        <v>149</v>
      </c>
      <c r="G312" s="36" t="s">
        <v>383</v>
      </c>
      <c r="H312" s="35"/>
      <c r="I312" s="35" t="s">
        <v>137</v>
      </c>
      <c r="J312" s="35"/>
      <c r="K312" s="159">
        <v>2</v>
      </c>
      <c r="L312" s="159">
        <v>3</v>
      </c>
      <c r="M312" s="160">
        <v>1</v>
      </c>
      <c r="N312" s="191"/>
      <c r="O312" s="190" t="str">
        <f t="shared" ref="O312" si="187">IF(AND($I312="In",ISNUMBER($K312)),$M312*$K312,"")</f>
        <v/>
      </c>
      <c r="P312" s="191"/>
      <c r="Q312" s="190" t="str">
        <f t="shared" si="59"/>
        <v/>
      </c>
      <c r="R312" s="191"/>
      <c r="S312" s="190" t="str">
        <f t="shared" ref="S312" si="188">IF(AND(ISNUMBER(O312),ISNUMBER(Q312)),ROUND((O312+Q312)/2, 1),"")</f>
        <v/>
      </c>
      <c r="T312" s="44"/>
    </row>
    <row r="313" spans="1:20" ht="26">
      <c r="A313" s="23"/>
      <c r="B313" s="34" t="s">
        <v>330</v>
      </c>
      <c r="C313" s="35" t="s">
        <v>309</v>
      </c>
      <c r="D313" s="36" t="s">
        <v>25</v>
      </c>
      <c r="E313" s="211" t="str">
        <f t="shared" si="182"/>
        <v>Site Dev - Frame</v>
      </c>
      <c r="F313" s="231" t="s">
        <v>149</v>
      </c>
      <c r="G313" s="36" t="s">
        <v>384</v>
      </c>
      <c r="H313" s="35"/>
      <c r="I313" s="35" t="s">
        <v>137</v>
      </c>
      <c r="J313" s="35"/>
      <c r="K313" s="159">
        <v>2</v>
      </c>
      <c r="L313" s="159">
        <v>3</v>
      </c>
      <c r="M313" s="160">
        <v>1</v>
      </c>
      <c r="N313" s="191"/>
      <c r="O313" s="190" t="str">
        <f t="shared" ref="O313" si="189">IF(AND($I313="In",ISNUMBER($K313)),$M313*$K313,"")</f>
        <v/>
      </c>
      <c r="P313" s="191"/>
      <c r="Q313" s="190" t="str">
        <f t="shared" si="59"/>
        <v/>
      </c>
      <c r="R313" s="191"/>
      <c r="S313" s="190" t="str">
        <f t="shared" ref="S313" si="190">IF(AND(ISNUMBER(O313),ISNUMBER(Q313)),ROUND((O313+Q313)/2, 1),"")</f>
        <v/>
      </c>
      <c r="T313" s="44"/>
    </row>
    <row r="314" spans="1:20" ht="26">
      <c r="A314" s="23"/>
      <c r="B314" s="34" t="s">
        <v>330</v>
      </c>
      <c r="C314" s="35" t="s">
        <v>309</v>
      </c>
      <c r="D314" s="36" t="s">
        <v>25</v>
      </c>
      <c r="E314" s="211" t="str">
        <f t="shared" si="182"/>
        <v>Site Dev - Overlay Template</v>
      </c>
      <c r="F314" s="231" t="s">
        <v>149</v>
      </c>
      <c r="G314" s="36" t="s">
        <v>385</v>
      </c>
      <c r="H314" s="35"/>
      <c r="I314" s="35" t="s">
        <v>137</v>
      </c>
      <c r="J314" s="35"/>
      <c r="K314" s="159">
        <v>2</v>
      </c>
      <c r="L314" s="159">
        <v>3</v>
      </c>
      <c r="M314" s="160">
        <v>1</v>
      </c>
      <c r="N314" s="191"/>
      <c r="O314" s="190" t="str">
        <f t="shared" ref="O314" si="191">IF(AND($I314="In",ISNUMBER($K314)),$M314*$K314,"")</f>
        <v/>
      </c>
      <c r="P314" s="191"/>
      <c r="Q314" s="190" t="str">
        <f t="shared" si="59"/>
        <v/>
      </c>
      <c r="R314" s="191"/>
      <c r="S314" s="190" t="str">
        <f t="shared" ref="S314" si="192">IF(AND(ISNUMBER(O314),ISNUMBER(Q314)),ROUND((O314+Q314)/2, 1),"")</f>
        <v/>
      </c>
      <c r="T314" s="44"/>
    </row>
    <row r="315" spans="1:20" ht="26">
      <c r="A315" s="23"/>
      <c r="B315" s="34" t="s">
        <v>330</v>
      </c>
      <c r="C315" s="35" t="s">
        <v>309</v>
      </c>
      <c r="D315" s="36" t="s">
        <v>25</v>
      </c>
      <c r="E315" s="211" t="str">
        <f t="shared" si="182"/>
        <v>Site Dev - Fund Details</v>
      </c>
      <c r="F315" s="231" t="s">
        <v>149</v>
      </c>
      <c r="G315" s="36" t="s">
        <v>486</v>
      </c>
      <c r="H315" s="35"/>
      <c r="I315" s="35" t="s">
        <v>137</v>
      </c>
      <c r="J315" s="35"/>
      <c r="K315" s="159">
        <v>2</v>
      </c>
      <c r="L315" s="159">
        <v>3</v>
      </c>
      <c r="M315" s="160">
        <v>1</v>
      </c>
      <c r="N315" s="191"/>
      <c r="O315" s="190" t="str">
        <f t="shared" si="58"/>
        <v/>
      </c>
      <c r="P315" s="191"/>
      <c r="Q315" s="190" t="str">
        <f t="shared" si="59"/>
        <v/>
      </c>
      <c r="R315" s="191"/>
      <c r="S315" s="190" t="str">
        <f t="shared" ref="S315:S316" si="193">IF(AND(ISNUMBER(O315),ISNUMBER(Q315)),ROUND((O315+Q315)/2, 1),"")</f>
        <v/>
      </c>
      <c r="T315" s="44"/>
    </row>
    <row r="316" spans="1:20" ht="26">
      <c r="A316" s="23"/>
      <c r="B316" s="34" t="s">
        <v>129</v>
      </c>
      <c r="C316" s="35" t="s">
        <v>309</v>
      </c>
      <c r="D316" s="36" t="s">
        <v>24</v>
      </c>
      <c r="E316" s="211" t="str">
        <f t="shared" si="182"/>
        <v>Site Dev - Fund Details - Variations</v>
      </c>
      <c r="F316" s="231" t="s">
        <v>149</v>
      </c>
      <c r="G316" s="36" t="s">
        <v>387</v>
      </c>
      <c r="H316" s="35"/>
      <c r="I316" s="35" t="s">
        <v>137</v>
      </c>
      <c r="J316" s="35" t="s">
        <v>68</v>
      </c>
      <c r="K316" s="159">
        <v>2</v>
      </c>
      <c r="L316" s="159">
        <v>3</v>
      </c>
      <c r="M316" s="160">
        <v>4</v>
      </c>
      <c r="N316" s="191">
        <v>1.4375</v>
      </c>
      <c r="O316" s="190" t="str">
        <f t="shared" ref="O316" si="194">IF(AND($I316="In",ISNUMBER($K316)),$M316*$K316,"")</f>
        <v/>
      </c>
      <c r="P316" s="191">
        <v>2.0625</v>
      </c>
      <c r="Q316" s="190" t="str">
        <f t="shared" ref="Q316" si="195">IF(AND($I316="In",ISNUMBER($L316)),$M316*$L316,"")</f>
        <v/>
      </c>
      <c r="R316" s="191"/>
      <c r="S316" s="190" t="str">
        <f t="shared" si="193"/>
        <v/>
      </c>
      <c r="T316" s="44"/>
    </row>
    <row r="317" spans="1:20" ht="26">
      <c r="A317" s="23"/>
      <c r="B317" s="34" t="s">
        <v>330</v>
      </c>
      <c r="C317" s="35" t="s">
        <v>309</v>
      </c>
      <c r="D317" s="36" t="s">
        <v>25</v>
      </c>
      <c r="E317" s="211" t="str">
        <f t="shared" si="182"/>
        <v>Site Dev - Print</v>
      </c>
      <c r="F317" s="231" t="s">
        <v>149</v>
      </c>
      <c r="G317" s="36" t="s">
        <v>388</v>
      </c>
      <c r="H317" s="35"/>
      <c r="I317" s="35" t="s">
        <v>137</v>
      </c>
      <c r="J317" s="35"/>
      <c r="K317" s="159">
        <v>2</v>
      </c>
      <c r="L317" s="159">
        <v>3</v>
      </c>
      <c r="M317" s="160">
        <v>1</v>
      </c>
      <c r="N317" s="191"/>
      <c r="O317" s="190" t="str">
        <f t="shared" si="58"/>
        <v/>
      </c>
      <c r="P317" s="191"/>
      <c r="Q317" s="190" t="str">
        <f t="shared" si="59"/>
        <v/>
      </c>
      <c r="R317" s="191"/>
      <c r="S317" s="190" t="str">
        <f t="shared" ref="S317" si="196">IF(AND(ISNUMBER(O317),ISNUMBER(Q317)),ROUND((O317+Q317)/2, 1),"")</f>
        <v/>
      </c>
      <c r="T317" s="44"/>
    </row>
    <row r="318" spans="1:20" ht="26">
      <c r="A318" s="23"/>
      <c r="B318" s="34" t="s">
        <v>330</v>
      </c>
      <c r="C318" s="35" t="s">
        <v>309</v>
      </c>
      <c r="D318" s="36" t="s">
        <v>25</v>
      </c>
      <c r="E318" s="211" t="str">
        <f t="shared" si="182"/>
        <v>Site Dev - LandingPage</v>
      </c>
      <c r="F318" s="231" t="s">
        <v>149</v>
      </c>
      <c r="G318" s="36" t="s">
        <v>389</v>
      </c>
      <c r="H318" s="35"/>
      <c r="I318" s="35" t="s">
        <v>137</v>
      </c>
      <c r="J318" s="35"/>
      <c r="K318" s="159">
        <v>2</v>
      </c>
      <c r="L318" s="159">
        <v>3</v>
      </c>
      <c r="M318" s="160">
        <v>1</v>
      </c>
      <c r="N318" s="191"/>
      <c r="O318" s="190" t="str">
        <f t="shared" si="58"/>
        <v/>
      </c>
      <c r="P318" s="191"/>
      <c r="Q318" s="190" t="str">
        <f t="shared" si="59"/>
        <v/>
      </c>
      <c r="R318" s="191"/>
      <c r="S318" s="190" t="str">
        <f t="shared" ref="S318" si="197">IF(AND(ISNUMBER(O318),ISNUMBER(Q318)),ROUND((O318+Q318)/2, 1),"")</f>
        <v/>
      </c>
      <c r="T318" s="44"/>
    </row>
    <row r="319" spans="1:20" ht="26">
      <c r="A319" s="23"/>
      <c r="B319" s="34" t="s">
        <v>330</v>
      </c>
      <c r="C319" s="35" t="s">
        <v>309</v>
      </c>
      <c r="D319" s="36" t="s">
        <v>25</v>
      </c>
      <c r="E319" s="211" t="str">
        <f t="shared" si="182"/>
        <v>Site Dev - Insights Template</v>
      </c>
      <c r="F319" s="231" t="s">
        <v>149</v>
      </c>
      <c r="G319" s="36" t="s">
        <v>390</v>
      </c>
      <c r="H319" s="35"/>
      <c r="I319" s="35" t="s">
        <v>137</v>
      </c>
      <c r="J319" s="35"/>
      <c r="K319" s="159">
        <v>2</v>
      </c>
      <c r="L319" s="159">
        <v>3</v>
      </c>
      <c r="M319" s="160">
        <v>1</v>
      </c>
      <c r="N319" s="191"/>
      <c r="O319" s="190" t="str">
        <f t="shared" si="58"/>
        <v/>
      </c>
      <c r="P319" s="191"/>
      <c r="Q319" s="190" t="str">
        <f t="shared" si="59"/>
        <v/>
      </c>
      <c r="R319" s="191"/>
      <c r="S319" s="190" t="str">
        <f t="shared" ref="S319" si="198">IF(AND(ISNUMBER(O319),ISNUMBER(Q319)),ROUND((O319+Q319)/2, 1),"")</f>
        <v/>
      </c>
      <c r="T319" s="44"/>
    </row>
    <row r="320" spans="1:20" ht="26">
      <c r="A320" s="23"/>
      <c r="B320" s="34" t="s">
        <v>330</v>
      </c>
      <c r="C320" s="35" t="s">
        <v>309</v>
      </c>
      <c r="D320" s="36" t="s">
        <v>25</v>
      </c>
      <c r="E320" s="211" t="str">
        <f t="shared" si="182"/>
        <v>Site Dev - History Template</v>
      </c>
      <c r="F320" s="231" t="s">
        <v>149</v>
      </c>
      <c r="G320" s="36" t="s">
        <v>391</v>
      </c>
      <c r="H320" s="35"/>
      <c r="I320" s="35" t="s">
        <v>137</v>
      </c>
      <c r="J320" s="35"/>
      <c r="K320" s="159">
        <v>2</v>
      </c>
      <c r="L320" s="159">
        <v>3</v>
      </c>
      <c r="M320" s="160">
        <v>1</v>
      </c>
      <c r="N320" s="191"/>
      <c r="O320" s="190" t="str">
        <f t="shared" si="58"/>
        <v/>
      </c>
      <c r="P320" s="191"/>
      <c r="Q320" s="190" t="str">
        <f t="shared" si="59"/>
        <v/>
      </c>
      <c r="R320" s="191"/>
      <c r="S320" s="190" t="str">
        <f t="shared" ref="S320" si="199">IF(AND(ISNUMBER(O320),ISNUMBER(Q320)),ROUND((O320+Q320)/2, 1),"")</f>
        <v/>
      </c>
      <c r="T320" s="44"/>
    </row>
    <row r="321" spans="1:20" ht="26">
      <c r="A321" s="23"/>
      <c r="B321" s="34" t="s">
        <v>330</v>
      </c>
      <c r="C321" s="35" t="s">
        <v>309</v>
      </c>
      <c r="D321" s="36" t="s">
        <v>25</v>
      </c>
      <c r="E321" s="211" t="str">
        <f t="shared" si="182"/>
        <v>Site Dev - Carousal Template</v>
      </c>
      <c r="F321" s="231" t="s">
        <v>149</v>
      </c>
      <c r="G321" s="36" t="s">
        <v>392</v>
      </c>
      <c r="H321" s="35"/>
      <c r="I321" s="35" t="s">
        <v>137</v>
      </c>
      <c r="J321" s="35"/>
      <c r="K321" s="159">
        <v>2</v>
      </c>
      <c r="L321" s="159">
        <v>3</v>
      </c>
      <c r="M321" s="160">
        <v>1</v>
      </c>
      <c r="N321" s="191"/>
      <c r="O321" s="190" t="str">
        <f t="shared" si="58"/>
        <v/>
      </c>
      <c r="P321" s="191"/>
      <c r="Q321" s="190" t="str">
        <f t="shared" si="59"/>
        <v/>
      </c>
      <c r="R321" s="191"/>
      <c r="S321" s="190" t="str">
        <f t="shared" ref="S321" si="200">IF(AND(ISNUMBER(O321),ISNUMBER(Q321)),ROUND((O321+Q321)/2, 1),"")</f>
        <v/>
      </c>
      <c r="T321" s="44"/>
    </row>
    <row r="322" spans="1:20" ht="26">
      <c r="A322" s="23"/>
      <c r="B322" s="34" t="s">
        <v>330</v>
      </c>
      <c r="C322" s="35" t="s">
        <v>309</v>
      </c>
      <c r="D322" s="36" t="s">
        <v>25</v>
      </c>
      <c r="E322" s="211" t="str">
        <f t="shared" si="182"/>
        <v>Site Dev - UserProfile Template</v>
      </c>
      <c r="F322" s="231" t="s">
        <v>149</v>
      </c>
      <c r="G322" s="36" t="s">
        <v>393</v>
      </c>
      <c r="H322" s="35"/>
      <c r="I322" s="35" t="s">
        <v>137</v>
      </c>
      <c r="J322" s="35"/>
      <c r="K322" s="159">
        <v>2</v>
      </c>
      <c r="L322" s="159">
        <v>3</v>
      </c>
      <c r="M322" s="160">
        <v>1</v>
      </c>
      <c r="N322" s="191"/>
      <c r="O322" s="190" t="str">
        <f t="shared" si="58"/>
        <v/>
      </c>
      <c r="P322" s="191"/>
      <c r="Q322" s="190" t="str">
        <f t="shared" si="59"/>
        <v/>
      </c>
      <c r="R322" s="191"/>
      <c r="S322" s="190" t="str">
        <f t="shared" ref="S322" si="201">IF(AND(ISNUMBER(O322),ISNUMBER(Q322)),ROUND((O322+Q322)/2, 1),"")</f>
        <v/>
      </c>
      <c r="T322" s="44"/>
    </row>
    <row r="323" spans="1:20" ht="26">
      <c r="A323" s="23"/>
      <c r="B323" s="34" t="s">
        <v>330</v>
      </c>
      <c r="C323" s="35" t="s">
        <v>309</v>
      </c>
      <c r="D323" s="36" t="s">
        <v>25</v>
      </c>
      <c r="E323" s="231" t="s">
        <v>394</v>
      </c>
      <c r="F323" s="231" t="s">
        <v>149</v>
      </c>
      <c r="G323" s="36"/>
      <c r="H323" s="35"/>
      <c r="I323" s="35" t="s">
        <v>137</v>
      </c>
      <c r="J323" s="35"/>
      <c r="K323" s="159"/>
      <c r="L323" s="159"/>
      <c r="M323" s="160">
        <v>1</v>
      </c>
      <c r="N323" s="191"/>
      <c r="O323" s="190" t="str">
        <f t="shared" si="58"/>
        <v/>
      </c>
      <c r="P323" s="191"/>
      <c r="Q323" s="190" t="str">
        <f t="shared" si="59"/>
        <v/>
      </c>
      <c r="R323" s="191"/>
      <c r="S323" s="190" t="str">
        <f t="shared" ref="S323" si="202">IF(AND(ISNUMBER(O323),ISNUMBER(Q323)),ROUND((O323+Q323)/2, 1),"")</f>
        <v/>
      </c>
      <c r="T323" s="44"/>
    </row>
    <row r="324" spans="1:20" ht="26">
      <c r="A324" s="23"/>
      <c r="B324" s="34" t="s">
        <v>330</v>
      </c>
      <c r="C324" s="35" t="s">
        <v>309</v>
      </c>
      <c r="D324" s="36" t="s">
        <v>25</v>
      </c>
      <c r="E324" s="211" t="str">
        <f t="shared" si="182"/>
        <v>Site Dev - Age-based Portfolios</v>
      </c>
      <c r="F324" s="231" t="s">
        <v>149</v>
      </c>
      <c r="G324" s="36" t="s">
        <v>395</v>
      </c>
      <c r="H324" s="35"/>
      <c r="I324" s="35" t="s">
        <v>137</v>
      </c>
      <c r="J324" s="35"/>
      <c r="K324" s="159">
        <v>1.5</v>
      </c>
      <c r="L324" s="159">
        <v>2</v>
      </c>
      <c r="M324" s="160">
        <v>1</v>
      </c>
      <c r="N324" s="191"/>
      <c r="O324" s="190" t="str">
        <f t="shared" si="58"/>
        <v/>
      </c>
      <c r="P324" s="191"/>
      <c r="Q324" s="190" t="str">
        <f t="shared" si="59"/>
        <v/>
      </c>
      <c r="R324" s="191"/>
      <c r="S324" s="190" t="str">
        <f t="shared" ref="S324" si="203">IF(AND(ISNUMBER(O324),ISNUMBER(Q324)),ROUND((O324+Q324)/2, 1),"")</f>
        <v/>
      </c>
      <c r="T324" s="44"/>
    </row>
    <row r="325" spans="1:20" ht="26">
      <c r="A325" s="23"/>
      <c r="B325" s="34" t="s">
        <v>330</v>
      </c>
      <c r="C325" s="35" t="s">
        <v>309</v>
      </c>
      <c r="D325" s="36" t="s">
        <v>25</v>
      </c>
      <c r="E325" s="211" t="str">
        <f t="shared" si="182"/>
        <v>Site Dev - Average Annual Total Returns</v>
      </c>
      <c r="F325" s="231" t="s">
        <v>149</v>
      </c>
      <c r="G325" s="36" t="s">
        <v>396</v>
      </c>
      <c r="H325" s="35"/>
      <c r="I325" s="35" t="s">
        <v>137</v>
      </c>
      <c r="J325" s="35"/>
      <c r="K325" s="159">
        <v>1.5</v>
      </c>
      <c r="L325" s="159">
        <v>2</v>
      </c>
      <c r="M325" s="160">
        <v>1</v>
      </c>
      <c r="N325" s="191"/>
      <c r="O325" s="190" t="str">
        <f t="shared" si="58"/>
        <v/>
      </c>
      <c r="P325" s="191"/>
      <c r="Q325" s="190" t="str">
        <f t="shared" si="59"/>
        <v/>
      </c>
      <c r="R325" s="191"/>
      <c r="S325" s="190" t="str">
        <f t="shared" ref="S325" si="204">IF(AND(ISNUMBER(O325),ISNUMBER(Q325)),ROUND((O325+Q325)/2, 1),"")</f>
        <v/>
      </c>
      <c r="T325" s="44"/>
    </row>
    <row r="326" spans="1:20" ht="26">
      <c r="A326" s="23"/>
      <c r="B326" s="34" t="s">
        <v>330</v>
      </c>
      <c r="C326" s="35" t="s">
        <v>309</v>
      </c>
      <c r="D326" s="36" t="s">
        <v>25</v>
      </c>
      <c r="E326" s="211" t="str">
        <f t="shared" si="182"/>
        <v>Site Dev - Banner</v>
      </c>
      <c r="F326" s="231" t="s">
        <v>149</v>
      </c>
      <c r="G326" s="36" t="s">
        <v>397</v>
      </c>
      <c r="H326" s="35"/>
      <c r="I326" s="35" t="s">
        <v>137</v>
      </c>
      <c r="J326" s="35"/>
      <c r="K326" s="159">
        <v>1.5</v>
      </c>
      <c r="L326" s="159">
        <v>2</v>
      </c>
      <c r="M326" s="160">
        <v>1</v>
      </c>
      <c r="N326" s="191"/>
      <c r="O326" s="190" t="str">
        <f t="shared" si="58"/>
        <v/>
      </c>
      <c r="P326" s="191"/>
      <c r="Q326" s="190" t="str">
        <f t="shared" si="59"/>
        <v/>
      </c>
      <c r="R326" s="191"/>
      <c r="S326" s="190" t="str">
        <f t="shared" ref="S326" si="205">IF(AND(ISNUMBER(O326),ISNUMBER(Q326)),ROUND((O326+Q326)/2, 1),"")</f>
        <v/>
      </c>
      <c r="T326" s="44"/>
    </row>
    <row r="327" spans="1:20" ht="26">
      <c r="A327" s="23"/>
      <c r="B327" s="34" t="s">
        <v>330</v>
      </c>
      <c r="C327" s="35" t="s">
        <v>309</v>
      </c>
      <c r="D327" s="36" t="s">
        <v>25</v>
      </c>
      <c r="E327" s="211" t="str">
        <f t="shared" si="182"/>
        <v>Site Dev - Calendar Year Returns</v>
      </c>
      <c r="F327" s="231" t="s">
        <v>149</v>
      </c>
      <c r="G327" s="36" t="s">
        <v>398</v>
      </c>
      <c r="H327" s="35"/>
      <c r="I327" s="35" t="s">
        <v>137</v>
      </c>
      <c r="J327" s="35"/>
      <c r="K327" s="159">
        <v>1.5</v>
      </c>
      <c r="L327" s="159">
        <v>2</v>
      </c>
      <c r="M327" s="160">
        <v>1</v>
      </c>
      <c r="N327" s="191"/>
      <c r="O327" s="190" t="str">
        <f t="shared" si="58"/>
        <v/>
      </c>
      <c r="P327" s="191"/>
      <c r="Q327" s="190" t="str">
        <f t="shared" si="59"/>
        <v/>
      </c>
      <c r="R327" s="191"/>
      <c r="S327" s="190" t="str">
        <f t="shared" ref="S327" si="206">IF(AND(ISNUMBER(O327),ISNUMBER(Q327)),ROUND((O327+Q327)/2, 1),"")</f>
        <v/>
      </c>
      <c r="T327" s="44"/>
    </row>
    <row r="328" spans="1:20" ht="26">
      <c r="A328" s="23"/>
      <c r="B328" s="34" t="s">
        <v>330</v>
      </c>
      <c r="C328" s="35" t="s">
        <v>309</v>
      </c>
      <c r="D328" s="36" t="s">
        <v>25</v>
      </c>
      <c r="E328" s="211" t="str">
        <f t="shared" si="182"/>
        <v>Site Dev - Carousal</v>
      </c>
      <c r="F328" s="231" t="s">
        <v>149</v>
      </c>
      <c r="G328" s="36" t="s">
        <v>399</v>
      </c>
      <c r="H328" s="35"/>
      <c r="I328" s="35" t="s">
        <v>137</v>
      </c>
      <c r="J328" s="35"/>
      <c r="K328" s="159">
        <v>1.5</v>
      </c>
      <c r="L328" s="159">
        <v>2</v>
      </c>
      <c r="M328" s="160">
        <v>1</v>
      </c>
      <c r="N328" s="191"/>
      <c r="O328" s="190" t="str">
        <f t="shared" si="58"/>
        <v/>
      </c>
      <c r="P328" s="191"/>
      <c r="Q328" s="190" t="str">
        <f t="shared" si="59"/>
        <v/>
      </c>
      <c r="R328" s="191"/>
      <c r="S328" s="190" t="str">
        <f t="shared" ref="S328" si="207">IF(AND(ISNUMBER(O328),ISNUMBER(Q328)),ROUND((O328+Q328)/2, 1),"")</f>
        <v/>
      </c>
      <c r="T328" s="44"/>
    </row>
    <row r="329" spans="1:20" ht="26">
      <c r="A329" s="23"/>
      <c r="B329" s="34" t="s">
        <v>330</v>
      </c>
      <c r="C329" s="35" t="s">
        <v>309</v>
      </c>
      <c r="D329" s="36" t="s">
        <v>25</v>
      </c>
      <c r="E329" s="211" t="str">
        <f t="shared" si="182"/>
        <v>Site Dev - Cart confirmation</v>
      </c>
      <c r="F329" s="231" t="s">
        <v>149</v>
      </c>
      <c r="G329" s="36" t="s">
        <v>276</v>
      </c>
      <c r="H329" s="35"/>
      <c r="I329" s="35" t="s">
        <v>137</v>
      </c>
      <c r="J329" s="35"/>
      <c r="K329" s="159">
        <v>1.5</v>
      </c>
      <c r="L329" s="159">
        <v>2</v>
      </c>
      <c r="M329" s="160">
        <v>1</v>
      </c>
      <c r="N329" s="191"/>
      <c r="O329" s="190" t="str">
        <f t="shared" si="58"/>
        <v/>
      </c>
      <c r="P329" s="191"/>
      <c r="Q329" s="190" t="str">
        <f t="shared" si="59"/>
        <v/>
      </c>
      <c r="R329" s="191"/>
      <c r="S329" s="190" t="str">
        <f t="shared" ref="S329" si="208">IF(AND(ISNUMBER(O329),ISNUMBER(Q329)),ROUND((O329+Q329)/2, 1),"")</f>
        <v/>
      </c>
      <c r="T329" s="44"/>
    </row>
    <row r="330" spans="1:20" ht="26">
      <c r="A330" s="23"/>
      <c r="B330" s="34" t="s">
        <v>330</v>
      </c>
      <c r="C330" s="35" t="s">
        <v>309</v>
      </c>
      <c r="D330" s="36" t="s">
        <v>25</v>
      </c>
      <c r="E330" s="211" t="str">
        <f t="shared" si="182"/>
        <v>Site Dev - Cart delivery</v>
      </c>
      <c r="F330" s="231" t="s">
        <v>149</v>
      </c>
      <c r="G330" s="36" t="s">
        <v>277</v>
      </c>
      <c r="H330" s="35"/>
      <c r="I330" s="35" t="s">
        <v>137</v>
      </c>
      <c r="J330" s="35"/>
      <c r="K330" s="159">
        <v>1.5</v>
      </c>
      <c r="L330" s="159">
        <v>2</v>
      </c>
      <c r="M330" s="160">
        <v>1</v>
      </c>
      <c r="N330" s="191"/>
      <c r="O330" s="190" t="str">
        <f t="shared" si="58"/>
        <v/>
      </c>
      <c r="P330" s="191"/>
      <c r="Q330" s="190" t="str">
        <f t="shared" si="59"/>
        <v/>
      </c>
      <c r="R330" s="191"/>
      <c r="S330" s="190" t="str">
        <f t="shared" ref="S330" si="209">IF(AND(ISNUMBER(O330),ISNUMBER(Q330)),ROUND((O330+Q330)/2, 1),"")</f>
        <v/>
      </c>
      <c r="T330" s="44"/>
    </row>
    <row r="331" spans="1:20" ht="26">
      <c r="A331" s="23"/>
      <c r="B331" s="34" t="s">
        <v>330</v>
      </c>
      <c r="C331" s="35" t="s">
        <v>309</v>
      </c>
      <c r="D331" s="36" t="s">
        <v>25</v>
      </c>
      <c r="E331" s="211" t="str">
        <f t="shared" si="182"/>
        <v>Site Dev - Cart details</v>
      </c>
      <c r="F331" s="231" t="s">
        <v>149</v>
      </c>
      <c r="G331" s="36" t="s">
        <v>278</v>
      </c>
      <c r="H331" s="35"/>
      <c r="I331" s="35" t="s">
        <v>137</v>
      </c>
      <c r="J331" s="35"/>
      <c r="K331" s="159">
        <v>1.5</v>
      </c>
      <c r="L331" s="159">
        <v>2</v>
      </c>
      <c r="M331" s="160">
        <v>1</v>
      </c>
      <c r="N331" s="191"/>
      <c r="O331" s="190" t="str">
        <f t="shared" si="58"/>
        <v/>
      </c>
      <c r="P331" s="191"/>
      <c r="Q331" s="190" t="str">
        <f t="shared" si="59"/>
        <v/>
      </c>
      <c r="R331" s="191"/>
      <c r="S331" s="190" t="str">
        <f t="shared" ref="S331" si="210">IF(AND(ISNUMBER(O331),ISNUMBER(Q331)),ROUND((O331+Q331)/2, 1),"")</f>
        <v/>
      </c>
      <c r="T331" s="44"/>
    </row>
    <row r="332" spans="1:20" ht="26">
      <c r="A332" s="23"/>
      <c r="B332" s="34" t="s">
        <v>330</v>
      </c>
      <c r="C332" s="35" t="s">
        <v>309</v>
      </c>
      <c r="D332" s="36" t="s">
        <v>25</v>
      </c>
      <c r="E332" s="211" t="str">
        <f t="shared" si="182"/>
        <v>Site Dev - Col Control</v>
      </c>
      <c r="F332" s="231" t="s">
        <v>149</v>
      </c>
      <c r="G332" s="36" t="s">
        <v>400</v>
      </c>
      <c r="H332" s="35"/>
      <c r="I332" s="35" t="s">
        <v>137</v>
      </c>
      <c r="J332" s="35"/>
      <c r="K332" s="159">
        <v>1.5</v>
      </c>
      <c r="L332" s="159">
        <v>2</v>
      </c>
      <c r="M332" s="160">
        <v>1</v>
      </c>
      <c r="N332" s="191"/>
      <c r="O332" s="190" t="str">
        <f t="shared" si="58"/>
        <v/>
      </c>
      <c r="P332" s="191"/>
      <c r="Q332" s="190" t="str">
        <f t="shared" si="59"/>
        <v/>
      </c>
      <c r="R332" s="191"/>
      <c r="S332" s="190" t="str">
        <f t="shared" ref="S332" si="211">IF(AND(ISNUMBER(O332),ISNUMBER(Q332)),ROUND((O332+Q332)/2, 1),"")</f>
        <v/>
      </c>
      <c r="T332" s="44"/>
    </row>
    <row r="333" spans="1:20" ht="26">
      <c r="A333" s="23"/>
      <c r="B333" s="34" t="s">
        <v>330</v>
      </c>
      <c r="C333" s="35" t="s">
        <v>309</v>
      </c>
      <c r="D333" s="36" t="s">
        <v>25</v>
      </c>
      <c r="E333" s="211" t="str">
        <f t="shared" si="182"/>
        <v>Site Dev - Compare Panel</v>
      </c>
      <c r="F333" s="231" t="s">
        <v>149</v>
      </c>
      <c r="G333" s="36" t="s">
        <v>401</v>
      </c>
      <c r="H333" s="35"/>
      <c r="I333" s="35" t="s">
        <v>137</v>
      </c>
      <c r="J333" s="35"/>
      <c r="K333" s="159">
        <v>1.5</v>
      </c>
      <c r="L333" s="159">
        <v>2</v>
      </c>
      <c r="M333" s="160">
        <v>1</v>
      </c>
      <c r="N333" s="191"/>
      <c r="O333" s="190" t="str">
        <f t="shared" si="58"/>
        <v/>
      </c>
      <c r="P333" s="191"/>
      <c r="Q333" s="190" t="str">
        <f t="shared" si="59"/>
        <v/>
      </c>
      <c r="R333" s="191"/>
      <c r="S333" s="190" t="str">
        <f t="shared" ref="S333" si="212">IF(AND(ISNUMBER(O333),ISNUMBER(Q333)),ROUND((O333+Q333)/2, 1),"")</f>
        <v/>
      </c>
      <c r="T333" s="44"/>
    </row>
    <row r="334" spans="1:20" ht="26">
      <c r="A334" s="23"/>
      <c r="B334" s="34" t="s">
        <v>330</v>
      </c>
      <c r="C334" s="35" t="s">
        <v>309</v>
      </c>
      <c r="D334" s="36" t="s">
        <v>25</v>
      </c>
      <c r="E334" s="211" t="str">
        <f t="shared" si="182"/>
        <v>Site Dev - Compare Results</v>
      </c>
      <c r="F334" s="231" t="s">
        <v>149</v>
      </c>
      <c r="G334" s="36" t="s">
        <v>402</v>
      </c>
      <c r="H334" s="35"/>
      <c r="I334" s="35" t="s">
        <v>137</v>
      </c>
      <c r="J334" s="35"/>
      <c r="K334" s="159">
        <v>1.5</v>
      </c>
      <c r="L334" s="159">
        <v>2</v>
      </c>
      <c r="M334" s="160">
        <v>1</v>
      </c>
      <c r="N334" s="191"/>
      <c r="O334" s="190" t="str">
        <f t="shared" si="58"/>
        <v/>
      </c>
      <c r="P334" s="191"/>
      <c r="Q334" s="190" t="str">
        <f t="shared" si="59"/>
        <v/>
      </c>
      <c r="R334" s="191"/>
      <c r="S334" s="190" t="str">
        <f t="shared" ref="S334" si="213">IF(AND(ISNUMBER(O334),ISNUMBER(Q334)),ROUND((O334+Q334)/2, 1),"")</f>
        <v/>
      </c>
      <c r="T334" s="44"/>
    </row>
    <row r="335" spans="1:20" ht="26">
      <c r="A335" s="23"/>
      <c r="B335" s="34" t="s">
        <v>330</v>
      </c>
      <c r="C335" s="35" t="s">
        <v>309</v>
      </c>
      <c r="D335" s="36" t="s">
        <v>25</v>
      </c>
      <c r="E335" s="211" t="str">
        <f t="shared" si="182"/>
        <v>Site Dev - Daily Prices</v>
      </c>
      <c r="F335" s="231" t="s">
        <v>149</v>
      </c>
      <c r="G335" s="36" t="s">
        <v>403</v>
      </c>
      <c r="H335" s="35"/>
      <c r="I335" s="35" t="s">
        <v>137</v>
      </c>
      <c r="J335" s="35"/>
      <c r="K335" s="159">
        <v>1.5</v>
      </c>
      <c r="L335" s="159">
        <v>2</v>
      </c>
      <c r="M335" s="160">
        <v>1</v>
      </c>
      <c r="N335" s="191"/>
      <c r="O335" s="190" t="str">
        <f t="shared" si="58"/>
        <v/>
      </c>
      <c r="P335" s="191"/>
      <c r="Q335" s="190" t="str">
        <f t="shared" si="59"/>
        <v/>
      </c>
      <c r="R335" s="191"/>
      <c r="S335" s="190" t="str">
        <f t="shared" ref="S335" si="214">IF(AND(ISNUMBER(O335),ISNUMBER(Q335)),ROUND((O335+Q335)/2, 1),"")</f>
        <v/>
      </c>
      <c r="T335" s="44"/>
    </row>
    <row r="336" spans="1:20" ht="26">
      <c r="A336" s="23"/>
      <c r="B336" s="34" t="s">
        <v>330</v>
      </c>
      <c r="C336" s="35" t="s">
        <v>309</v>
      </c>
      <c r="D336" s="36" t="s">
        <v>25</v>
      </c>
      <c r="E336" s="211" t="str">
        <f t="shared" si="182"/>
        <v>Site Dev - Footer</v>
      </c>
      <c r="F336" s="231" t="s">
        <v>149</v>
      </c>
      <c r="G336" s="36" t="s">
        <v>404</v>
      </c>
      <c r="H336" s="35"/>
      <c r="I336" s="35" t="s">
        <v>137</v>
      </c>
      <c r="J336" s="35"/>
      <c r="K336" s="159">
        <v>1.5</v>
      </c>
      <c r="L336" s="159">
        <v>2</v>
      </c>
      <c r="M336" s="160">
        <v>1</v>
      </c>
      <c r="N336" s="191"/>
      <c r="O336" s="190" t="str">
        <f t="shared" si="58"/>
        <v/>
      </c>
      <c r="P336" s="191"/>
      <c r="Q336" s="190" t="str">
        <f t="shared" si="59"/>
        <v/>
      </c>
      <c r="R336" s="191"/>
      <c r="S336" s="190" t="str">
        <f t="shared" ref="S336" si="215">IF(AND(ISNUMBER(O336),ISNUMBER(Q336)),ROUND((O336+Q336)/2, 1),"")</f>
        <v/>
      </c>
      <c r="T336" s="44"/>
    </row>
    <row r="337" spans="1:20" ht="26">
      <c r="A337" s="23"/>
      <c r="B337" s="34" t="s">
        <v>330</v>
      </c>
      <c r="C337" s="35" t="s">
        <v>309</v>
      </c>
      <c r="D337" s="36" t="s">
        <v>25</v>
      </c>
      <c r="E337" s="211" t="str">
        <f t="shared" si="182"/>
        <v>Site Dev - Form</v>
      </c>
      <c r="F337" s="231" t="s">
        <v>149</v>
      </c>
      <c r="G337" s="36" t="s">
        <v>405</v>
      </c>
      <c r="H337" s="35"/>
      <c r="I337" s="35" t="s">
        <v>137</v>
      </c>
      <c r="J337" s="35"/>
      <c r="K337" s="159">
        <v>1.5</v>
      </c>
      <c r="L337" s="159">
        <v>2</v>
      </c>
      <c r="M337" s="160">
        <v>1</v>
      </c>
      <c r="N337" s="191"/>
      <c r="O337" s="190" t="str">
        <f t="shared" si="58"/>
        <v/>
      </c>
      <c r="P337" s="191"/>
      <c r="Q337" s="190" t="str">
        <f t="shared" si="59"/>
        <v/>
      </c>
      <c r="R337" s="191"/>
      <c r="S337" s="190" t="str">
        <f t="shared" ref="S337" si="216">IF(AND(ISNUMBER(O337),ISNUMBER(Q337)),ROUND((O337+Q337)/2, 1),"")</f>
        <v/>
      </c>
      <c r="T337" s="44"/>
    </row>
    <row r="338" spans="1:20" ht="26">
      <c r="A338" s="23"/>
      <c r="B338" s="34" t="s">
        <v>330</v>
      </c>
      <c r="C338" s="35" t="s">
        <v>309</v>
      </c>
      <c r="D338" s="36" t="s">
        <v>25</v>
      </c>
      <c r="E338" s="211" t="str">
        <f t="shared" si="182"/>
        <v>Site Dev - Fund Basics</v>
      </c>
      <c r="F338" s="231" t="s">
        <v>149</v>
      </c>
      <c r="G338" s="36" t="s">
        <v>406</v>
      </c>
      <c r="H338" s="35"/>
      <c r="I338" s="35" t="s">
        <v>137</v>
      </c>
      <c r="J338" s="35"/>
      <c r="K338" s="159">
        <v>1.5</v>
      </c>
      <c r="L338" s="159">
        <v>2</v>
      </c>
      <c r="M338" s="160">
        <v>1</v>
      </c>
      <c r="N338" s="191"/>
      <c r="O338" s="190" t="str">
        <f t="shared" si="58"/>
        <v/>
      </c>
      <c r="P338" s="191"/>
      <c r="Q338" s="190" t="str">
        <f t="shared" si="59"/>
        <v/>
      </c>
      <c r="R338" s="191"/>
      <c r="S338" s="190" t="str">
        <f t="shared" ref="S338" si="217">IF(AND(ISNUMBER(O338),ISNUMBER(Q338)),ROUND((O338+Q338)/2, 1),"")</f>
        <v/>
      </c>
      <c r="T338" s="44"/>
    </row>
    <row r="339" spans="1:20" ht="26">
      <c r="A339" s="23"/>
      <c r="B339" s="34" t="s">
        <v>330</v>
      </c>
      <c r="C339" s="35" t="s">
        <v>309</v>
      </c>
      <c r="D339" s="36" t="s">
        <v>25</v>
      </c>
      <c r="E339" s="211" t="str">
        <f t="shared" si="182"/>
        <v>Site Dev - Fund Information Pane</v>
      </c>
      <c r="F339" s="231" t="s">
        <v>149</v>
      </c>
      <c r="G339" s="36" t="s">
        <v>407</v>
      </c>
      <c r="H339" s="35"/>
      <c r="I339" s="35" t="s">
        <v>137</v>
      </c>
      <c r="J339" s="35"/>
      <c r="K339" s="159">
        <v>1.5</v>
      </c>
      <c r="L339" s="159">
        <v>2</v>
      </c>
      <c r="M339" s="160">
        <v>1</v>
      </c>
      <c r="N339" s="191"/>
      <c r="O339" s="190" t="str">
        <f t="shared" si="58"/>
        <v/>
      </c>
      <c r="P339" s="191"/>
      <c r="Q339" s="190" t="str">
        <f t="shared" si="59"/>
        <v/>
      </c>
      <c r="R339" s="191"/>
      <c r="S339" s="190" t="str">
        <f t="shared" ref="S339" si="218">IF(AND(ISNUMBER(O339),ISNUMBER(Q339)),ROUND((O339+Q339)/2, 1),"")</f>
        <v/>
      </c>
      <c r="T339" s="44"/>
    </row>
    <row r="340" spans="1:20" ht="26">
      <c r="A340" s="23"/>
      <c r="B340" s="34" t="s">
        <v>330</v>
      </c>
      <c r="C340" s="35" t="s">
        <v>309</v>
      </c>
      <c r="D340" s="36" t="s">
        <v>25</v>
      </c>
      <c r="E340" s="211" t="str">
        <f t="shared" si="182"/>
        <v>Site Dev - Fund List</v>
      </c>
      <c r="F340" s="231" t="s">
        <v>149</v>
      </c>
      <c r="G340" s="36" t="s">
        <v>279</v>
      </c>
      <c r="H340" s="35"/>
      <c r="I340" s="35" t="s">
        <v>137</v>
      </c>
      <c r="J340" s="35"/>
      <c r="K340" s="159">
        <v>1.5</v>
      </c>
      <c r="L340" s="159">
        <v>2</v>
      </c>
      <c r="M340" s="160">
        <v>1</v>
      </c>
      <c r="N340" s="191"/>
      <c r="O340" s="190" t="str">
        <f t="shared" si="58"/>
        <v/>
      </c>
      <c r="P340" s="191"/>
      <c r="Q340" s="190" t="str">
        <f t="shared" si="59"/>
        <v/>
      </c>
      <c r="R340" s="191"/>
      <c r="S340" s="190" t="str">
        <f t="shared" ref="S340" si="219">IF(AND(ISNUMBER(O340),ISNUMBER(Q340)),ROUND((O340+Q340)/2, 1),"")</f>
        <v/>
      </c>
      <c r="T340" s="44"/>
    </row>
    <row r="341" spans="1:20" ht="26">
      <c r="A341" s="23"/>
      <c r="B341" s="34" t="s">
        <v>330</v>
      </c>
      <c r="C341" s="35" t="s">
        <v>309</v>
      </c>
      <c r="D341" s="36" t="s">
        <v>25</v>
      </c>
      <c r="E341" s="211" t="str">
        <f t="shared" si="182"/>
        <v>Site Dev - Fund Navigation Pane</v>
      </c>
      <c r="F341" s="231" t="s">
        <v>149</v>
      </c>
      <c r="G341" s="36" t="s">
        <v>408</v>
      </c>
      <c r="H341" s="35"/>
      <c r="I341" s="35" t="s">
        <v>137</v>
      </c>
      <c r="J341" s="35"/>
      <c r="K341" s="159">
        <v>1.5</v>
      </c>
      <c r="L341" s="159">
        <v>2</v>
      </c>
      <c r="M341" s="160">
        <v>1</v>
      </c>
      <c r="N341" s="191"/>
      <c r="O341" s="190" t="str">
        <f t="shared" si="58"/>
        <v/>
      </c>
      <c r="P341" s="191"/>
      <c r="Q341" s="190" t="str">
        <f t="shared" si="59"/>
        <v/>
      </c>
      <c r="R341" s="191"/>
      <c r="S341" s="190" t="str">
        <f t="shared" ref="S341" si="220">IF(AND(ISNUMBER(O341),ISNUMBER(Q341)),ROUND((O341+Q341)/2, 1),"")</f>
        <v/>
      </c>
      <c r="T341" s="44"/>
    </row>
    <row r="342" spans="1:20" ht="26">
      <c r="A342" s="23"/>
      <c r="B342" s="34" t="s">
        <v>330</v>
      </c>
      <c r="C342" s="35" t="s">
        <v>309</v>
      </c>
      <c r="D342" s="36" t="s">
        <v>25</v>
      </c>
      <c r="E342" s="211" t="str">
        <f t="shared" si="182"/>
        <v>Site Dev - Funds List</v>
      </c>
      <c r="F342" s="231" t="s">
        <v>149</v>
      </c>
      <c r="G342" s="36" t="s">
        <v>409</v>
      </c>
      <c r="H342" s="35"/>
      <c r="I342" s="35" t="s">
        <v>137</v>
      </c>
      <c r="J342" s="35"/>
      <c r="K342" s="159">
        <v>1.5</v>
      </c>
      <c r="L342" s="159">
        <v>2</v>
      </c>
      <c r="M342" s="160">
        <v>1</v>
      </c>
      <c r="N342" s="191"/>
      <c r="O342" s="190" t="str">
        <f t="shared" si="58"/>
        <v/>
      </c>
      <c r="P342" s="191"/>
      <c r="Q342" s="190" t="str">
        <f t="shared" si="59"/>
        <v/>
      </c>
      <c r="R342" s="191"/>
      <c r="S342" s="190" t="str">
        <f t="shared" ref="S342" si="221">IF(AND(ISNUMBER(O342),ISNUMBER(Q342)),ROUND((O342+Q342)/2, 1),"")</f>
        <v/>
      </c>
      <c r="T342" s="44"/>
    </row>
    <row r="343" spans="1:20" ht="26">
      <c r="A343" s="23"/>
      <c r="B343" s="34" t="s">
        <v>330</v>
      </c>
      <c r="C343" s="35" t="s">
        <v>309</v>
      </c>
      <c r="D343" s="36" t="s">
        <v>25</v>
      </c>
      <c r="E343" s="211" t="str">
        <f t="shared" si="182"/>
        <v>Site Dev - Funds Module</v>
      </c>
      <c r="F343" s="231" t="s">
        <v>149</v>
      </c>
      <c r="G343" s="36" t="s">
        <v>411</v>
      </c>
      <c r="H343" s="35"/>
      <c r="I343" s="35" t="s">
        <v>137</v>
      </c>
      <c r="J343" s="35"/>
      <c r="K343" s="159">
        <v>1.5</v>
      </c>
      <c r="L343" s="159">
        <v>2</v>
      </c>
      <c r="M343" s="160">
        <v>1</v>
      </c>
      <c r="N343" s="191"/>
      <c r="O343" s="190" t="str">
        <f t="shared" si="58"/>
        <v/>
      </c>
      <c r="P343" s="191"/>
      <c r="Q343" s="190" t="str">
        <f t="shared" si="59"/>
        <v/>
      </c>
      <c r="R343" s="191"/>
      <c r="S343" s="190" t="str">
        <f t="shared" ref="S343" si="222">IF(AND(ISNUMBER(O343),ISNUMBER(Q343)),ROUND((O343+Q343)/2, 1),"")</f>
        <v/>
      </c>
      <c r="T343" s="44"/>
    </row>
    <row r="344" spans="1:20" ht="26">
      <c r="A344" s="23"/>
      <c r="B344" s="34" t="s">
        <v>330</v>
      </c>
      <c r="C344" s="35" t="s">
        <v>309</v>
      </c>
      <c r="D344" s="36" t="s">
        <v>25</v>
      </c>
      <c r="E344" s="211" t="str">
        <f t="shared" si="182"/>
        <v>Site Dev - Funds Navigation Tabs</v>
      </c>
      <c r="F344" s="231" t="s">
        <v>149</v>
      </c>
      <c r="G344" s="36" t="s">
        <v>412</v>
      </c>
      <c r="H344" s="35"/>
      <c r="I344" s="35" t="s">
        <v>137</v>
      </c>
      <c r="J344" s="35"/>
      <c r="K344" s="159">
        <v>1.5</v>
      </c>
      <c r="L344" s="159">
        <v>2</v>
      </c>
      <c r="M344" s="160">
        <v>1</v>
      </c>
      <c r="N344" s="191"/>
      <c r="O344" s="190" t="str">
        <f t="shared" si="58"/>
        <v/>
      </c>
      <c r="P344" s="191"/>
      <c r="Q344" s="190" t="str">
        <f t="shared" si="59"/>
        <v/>
      </c>
      <c r="R344" s="191"/>
      <c r="S344" s="190" t="str">
        <f t="shared" ref="S344" si="223">IF(AND(ISNUMBER(O344),ISNUMBER(Q344)),ROUND((O344+Q344)/2, 1),"")</f>
        <v/>
      </c>
      <c r="T344" s="44"/>
    </row>
    <row r="345" spans="1:20" ht="26">
      <c r="A345" s="23"/>
      <c r="B345" s="34" t="s">
        <v>330</v>
      </c>
      <c r="C345" s="35" t="s">
        <v>309</v>
      </c>
      <c r="D345" s="36" t="s">
        <v>25</v>
      </c>
      <c r="E345" s="211" t="str">
        <f t="shared" si="182"/>
        <v>Site Dev - Growth of $10,000</v>
      </c>
      <c r="F345" s="231" t="s">
        <v>149</v>
      </c>
      <c r="G345" s="36" t="s">
        <v>413</v>
      </c>
      <c r="H345" s="35"/>
      <c r="I345" s="35" t="s">
        <v>137</v>
      </c>
      <c r="J345" s="35"/>
      <c r="K345" s="159">
        <v>1.5</v>
      </c>
      <c r="L345" s="159">
        <v>2</v>
      </c>
      <c r="M345" s="160">
        <v>1</v>
      </c>
      <c r="N345" s="191"/>
      <c r="O345" s="190" t="str">
        <f t="shared" si="58"/>
        <v/>
      </c>
      <c r="P345" s="191"/>
      <c r="Q345" s="190" t="str">
        <f t="shared" si="59"/>
        <v/>
      </c>
      <c r="R345" s="191"/>
      <c r="S345" s="190" t="str">
        <f t="shared" ref="S345" si="224">IF(AND(ISNUMBER(O345),ISNUMBER(Q345)),ROUND((O345+Q345)/2, 1),"")</f>
        <v/>
      </c>
      <c r="T345" s="44"/>
    </row>
    <row r="346" spans="1:20" ht="26">
      <c r="A346" s="23"/>
      <c r="B346" s="34" t="s">
        <v>330</v>
      </c>
      <c r="C346" s="35" t="s">
        <v>309</v>
      </c>
      <c r="D346" s="36" t="s">
        <v>25</v>
      </c>
      <c r="E346" s="211" t="str">
        <f t="shared" si="182"/>
        <v>Site Dev - Highlights</v>
      </c>
      <c r="F346" s="231" t="s">
        <v>149</v>
      </c>
      <c r="G346" s="36" t="s">
        <v>414</v>
      </c>
      <c r="H346" s="35"/>
      <c r="I346" s="35" t="s">
        <v>137</v>
      </c>
      <c r="J346" s="35"/>
      <c r="K346" s="159">
        <v>1.5</v>
      </c>
      <c r="L346" s="159">
        <v>2</v>
      </c>
      <c r="M346" s="160">
        <v>1</v>
      </c>
      <c r="N346" s="191"/>
      <c r="O346" s="190" t="str">
        <f t="shared" si="58"/>
        <v/>
      </c>
      <c r="P346" s="191"/>
      <c r="Q346" s="190" t="str">
        <f t="shared" si="59"/>
        <v/>
      </c>
      <c r="R346" s="191"/>
      <c r="S346" s="190" t="str">
        <f t="shared" ref="S346" si="225">IF(AND(ISNUMBER(O346),ISNUMBER(Q346)),ROUND((O346+Q346)/2, 1),"")</f>
        <v/>
      </c>
      <c r="T346" s="44"/>
    </row>
    <row r="347" spans="1:20" ht="26">
      <c r="A347" s="23"/>
      <c r="B347" s="34" t="s">
        <v>330</v>
      </c>
      <c r="C347" s="35" t="s">
        <v>309</v>
      </c>
      <c r="D347" s="36" t="s">
        <v>25</v>
      </c>
      <c r="E347" s="211" t="str">
        <f t="shared" si="182"/>
        <v>Site Dev - Holdings Characteristics</v>
      </c>
      <c r="F347" s="231" t="s">
        <v>149</v>
      </c>
      <c r="G347" s="36" t="s">
        <v>415</v>
      </c>
      <c r="H347" s="35"/>
      <c r="I347" s="35" t="s">
        <v>137</v>
      </c>
      <c r="J347" s="35"/>
      <c r="K347" s="159">
        <v>1.5</v>
      </c>
      <c r="L347" s="159">
        <v>2</v>
      </c>
      <c r="M347" s="160">
        <v>1</v>
      </c>
      <c r="N347" s="191"/>
      <c r="O347" s="190" t="str">
        <f t="shared" si="58"/>
        <v/>
      </c>
      <c r="P347" s="191"/>
      <c r="Q347" s="190" t="str">
        <f t="shared" si="59"/>
        <v/>
      </c>
      <c r="R347" s="191"/>
      <c r="S347" s="190" t="str">
        <f t="shared" ref="S347" si="226">IF(AND(ISNUMBER(O347),ISNUMBER(Q347)),ROUND((O347+Q347)/2, 1),"")</f>
        <v/>
      </c>
      <c r="T347" s="44"/>
    </row>
    <row r="348" spans="1:20" ht="26">
      <c r="A348" s="23"/>
      <c r="B348" s="34" t="s">
        <v>330</v>
      </c>
      <c r="C348" s="35" t="s">
        <v>309</v>
      </c>
      <c r="D348" s="36" t="s">
        <v>25</v>
      </c>
      <c r="E348" s="211" t="str">
        <f t="shared" si="182"/>
        <v>Site Dev - Individual Fund Options</v>
      </c>
      <c r="F348" s="231" t="s">
        <v>149</v>
      </c>
      <c r="G348" s="36" t="s">
        <v>416</v>
      </c>
      <c r="H348" s="35"/>
      <c r="I348" s="35" t="s">
        <v>137</v>
      </c>
      <c r="J348" s="35"/>
      <c r="K348" s="159">
        <v>1.5</v>
      </c>
      <c r="L348" s="159">
        <v>2</v>
      </c>
      <c r="M348" s="160">
        <v>1</v>
      </c>
      <c r="N348" s="191"/>
      <c r="O348" s="190" t="str">
        <f t="shared" si="58"/>
        <v/>
      </c>
      <c r="P348" s="191"/>
      <c r="Q348" s="190" t="str">
        <f t="shared" si="59"/>
        <v/>
      </c>
      <c r="R348" s="191"/>
      <c r="S348" s="190" t="str">
        <f t="shared" ref="S348" si="227">IF(AND(ISNUMBER(O348),ISNUMBER(Q348)),ROUND((O348+Q348)/2, 1),"")</f>
        <v/>
      </c>
      <c r="T348" s="44"/>
    </row>
    <row r="349" spans="1:20" ht="26">
      <c r="A349" s="23"/>
      <c r="B349" s="34" t="s">
        <v>330</v>
      </c>
      <c r="C349" s="35" t="s">
        <v>309</v>
      </c>
      <c r="D349" s="36" t="s">
        <v>25</v>
      </c>
      <c r="E349" s="211" t="str">
        <f t="shared" si="182"/>
        <v xml:space="preserve">Site Dev - Insights </v>
      </c>
      <c r="F349" s="231" t="s">
        <v>149</v>
      </c>
      <c r="G349" s="36" t="s">
        <v>417</v>
      </c>
      <c r="H349" s="35"/>
      <c r="I349" s="35" t="s">
        <v>137</v>
      </c>
      <c r="J349" s="35"/>
      <c r="K349" s="159">
        <v>1.5</v>
      </c>
      <c r="L349" s="159">
        <v>2</v>
      </c>
      <c r="M349" s="160">
        <v>1</v>
      </c>
      <c r="N349" s="191"/>
      <c r="O349" s="190" t="str">
        <f t="shared" si="58"/>
        <v/>
      </c>
      <c r="P349" s="191"/>
      <c r="Q349" s="190" t="str">
        <f t="shared" si="59"/>
        <v/>
      </c>
      <c r="R349" s="191"/>
      <c r="S349" s="190" t="str">
        <f t="shared" ref="S349" si="228">IF(AND(ISNUMBER(O349),ISNUMBER(Q349)),ROUND((O349+Q349)/2, 1),"")</f>
        <v/>
      </c>
      <c r="T349" s="44"/>
    </row>
    <row r="350" spans="1:20" ht="26">
      <c r="A350" s="23"/>
      <c r="B350" s="34" t="s">
        <v>330</v>
      </c>
      <c r="C350" s="35" t="s">
        <v>309</v>
      </c>
      <c r="D350" s="36" t="s">
        <v>25</v>
      </c>
      <c r="E350" s="211" t="str">
        <f t="shared" si="182"/>
        <v>Site Dev - Insights &amp; Research</v>
      </c>
      <c r="F350" s="231" t="s">
        <v>149</v>
      </c>
      <c r="G350" s="36" t="s">
        <v>418</v>
      </c>
      <c r="H350" s="35"/>
      <c r="I350" s="35" t="s">
        <v>137</v>
      </c>
      <c r="J350" s="35"/>
      <c r="K350" s="159">
        <v>1.5</v>
      </c>
      <c r="L350" s="159">
        <v>2</v>
      </c>
      <c r="M350" s="160">
        <v>1</v>
      </c>
      <c r="N350" s="191"/>
      <c r="O350" s="190" t="str">
        <f t="shared" si="58"/>
        <v/>
      </c>
      <c r="P350" s="191"/>
      <c r="Q350" s="190" t="str">
        <f t="shared" si="59"/>
        <v/>
      </c>
      <c r="R350" s="191"/>
      <c r="S350" s="190" t="str">
        <f t="shared" ref="S350" si="229">IF(AND(ISNUMBER(O350),ISNUMBER(Q350)),ROUND((O350+Q350)/2, 1),"")</f>
        <v/>
      </c>
      <c r="T350" s="44"/>
    </row>
    <row r="351" spans="1:20" ht="26">
      <c r="A351" s="23"/>
      <c r="B351" s="34" t="s">
        <v>330</v>
      </c>
      <c r="C351" s="35" t="s">
        <v>309</v>
      </c>
      <c r="D351" s="36" t="s">
        <v>25</v>
      </c>
      <c r="E351" s="211" t="str">
        <f t="shared" si="182"/>
        <v>Site Dev - Literature List</v>
      </c>
      <c r="F351" s="231" t="s">
        <v>149</v>
      </c>
      <c r="G351" s="36" t="s">
        <v>419</v>
      </c>
      <c r="H351" s="35"/>
      <c r="I351" s="35" t="s">
        <v>137</v>
      </c>
      <c r="J351" s="35"/>
      <c r="K351" s="159">
        <v>1.5</v>
      </c>
      <c r="L351" s="159">
        <v>2</v>
      </c>
      <c r="M351" s="160">
        <v>1</v>
      </c>
      <c r="N351" s="191"/>
      <c r="O351" s="190" t="str">
        <f t="shared" si="58"/>
        <v/>
      </c>
      <c r="P351" s="191"/>
      <c r="Q351" s="190" t="str">
        <f t="shared" si="59"/>
        <v/>
      </c>
      <c r="R351" s="191"/>
      <c r="S351" s="190" t="str">
        <f t="shared" ref="S351" si="230">IF(AND(ISNUMBER(O351),ISNUMBER(Q351)),ROUND((O351+Q351)/2, 1),"")</f>
        <v/>
      </c>
      <c r="T351" s="44"/>
    </row>
    <row r="352" spans="1:20" ht="26">
      <c r="A352" s="23"/>
      <c r="B352" s="34" t="s">
        <v>330</v>
      </c>
      <c r="C352" s="35" t="s">
        <v>309</v>
      </c>
      <c r="D352" s="36" t="s">
        <v>25</v>
      </c>
      <c r="E352" s="211" t="str">
        <f t="shared" si="182"/>
        <v>Site Dev - Logo</v>
      </c>
      <c r="F352" s="231" t="s">
        <v>149</v>
      </c>
      <c r="G352" s="36" t="s">
        <v>420</v>
      </c>
      <c r="H352" s="35"/>
      <c r="I352" s="35" t="s">
        <v>137</v>
      </c>
      <c r="J352" s="35"/>
      <c r="K352" s="159">
        <v>1.5</v>
      </c>
      <c r="L352" s="159">
        <v>2</v>
      </c>
      <c r="M352" s="160">
        <v>1</v>
      </c>
      <c r="N352" s="191"/>
      <c r="O352" s="190" t="str">
        <f t="shared" si="58"/>
        <v/>
      </c>
      <c r="P352" s="191"/>
      <c r="Q352" s="190" t="str">
        <f t="shared" si="59"/>
        <v/>
      </c>
      <c r="R352" s="191"/>
      <c r="S352" s="190" t="str">
        <f t="shared" ref="S352" si="231">IF(AND(ISNUMBER(O352),ISNUMBER(Q352)),ROUND((O352+Q352)/2, 1),"")</f>
        <v/>
      </c>
      <c r="T352" s="44"/>
    </row>
    <row r="353" spans="1:20" ht="26">
      <c r="A353" s="23"/>
      <c r="B353" s="34" t="s">
        <v>330</v>
      </c>
      <c r="C353" s="35" t="s">
        <v>309</v>
      </c>
      <c r="D353" s="36" t="s">
        <v>25</v>
      </c>
      <c r="E353" s="211" t="str">
        <f t="shared" si="182"/>
        <v>Site Dev - Market Cap Distribution</v>
      </c>
      <c r="F353" s="231" t="s">
        <v>149</v>
      </c>
      <c r="G353" s="36" t="s">
        <v>421</v>
      </c>
      <c r="H353" s="35"/>
      <c r="I353" s="35" t="s">
        <v>137</v>
      </c>
      <c r="J353" s="35"/>
      <c r="K353" s="159">
        <v>1.5</v>
      </c>
      <c r="L353" s="159">
        <v>2</v>
      </c>
      <c r="M353" s="160">
        <v>1</v>
      </c>
      <c r="N353" s="191"/>
      <c r="O353" s="190" t="str">
        <f t="shared" si="58"/>
        <v/>
      </c>
      <c r="P353" s="191"/>
      <c r="Q353" s="190" t="str">
        <f t="shared" si="59"/>
        <v/>
      </c>
      <c r="R353" s="191"/>
      <c r="S353" s="190" t="str">
        <f t="shared" ref="S353" si="232">IF(AND(ISNUMBER(O353),ISNUMBER(Q353)),ROUND((O353+Q353)/2, 1),"")</f>
        <v/>
      </c>
      <c r="T353" s="44"/>
    </row>
    <row r="354" spans="1:20" ht="26">
      <c r="A354" s="23"/>
      <c r="B354" s="34" t="s">
        <v>330</v>
      </c>
      <c r="C354" s="35" t="s">
        <v>309</v>
      </c>
      <c r="D354" s="36" t="s">
        <v>25</v>
      </c>
      <c r="E354" s="211" t="str">
        <f t="shared" si="182"/>
        <v>Site Dev - Performance</v>
      </c>
      <c r="F354" s="231" t="s">
        <v>149</v>
      </c>
      <c r="G354" s="36" t="s">
        <v>29</v>
      </c>
      <c r="H354" s="35"/>
      <c r="I354" s="35" t="s">
        <v>137</v>
      </c>
      <c r="J354" s="35"/>
      <c r="K354" s="159">
        <v>1.5</v>
      </c>
      <c r="L354" s="159">
        <v>2</v>
      </c>
      <c r="M354" s="160">
        <v>1</v>
      </c>
      <c r="N354" s="191"/>
      <c r="O354" s="190" t="str">
        <f t="shared" si="58"/>
        <v/>
      </c>
      <c r="P354" s="191"/>
      <c r="Q354" s="190" t="str">
        <f t="shared" si="59"/>
        <v/>
      </c>
      <c r="R354" s="191"/>
      <c r="S354" s="190" t="str">
        <f t="shared" ref="S354" si="233">IF(AND(ISNUMBER(O354),ISNUMBER(Q354)),ROUND((O354+Q354)/2, 1),"")</f>
        <v/>
      </c>
      <c r="T354" s="44"/>
    </row>
    <row r="355" spans="1:20" ht="26">
      <c r="A355" s="23"/>
      <c r="B355" s="34" t="s">
        <v>330</v>
      </c>
      <c r="C355" s="35" t="s">
        <v>309</v>
      </c>
      <c r="D355" s="36" t="s">
        <v>25</v>
      </c>
      <c r="E355" s="211" t="str">
        <f t="shared" si="182"/>
        <v>Site Dev - Phone</v>
      </c>
      <c r="F355" s="231" t="s">
        <v>149</v>
      </c>
      <c r="G355" s="36" t="s">
        <v>422</v>
      </c>
      <c r="H355" s="35"/>
      <c r="I355" s="35" t="s">
        <v>137</v>
      </c>
      <c r="J355" s="35"/>
      <c r="K355" s="159">
        <v>1.5</v>
      </c>
      <c r="L355" s="159">
        <v>2</v>
      </c>
      <c r="M355" s="160">
        <v>1</v>
      </c>
      <c r="N355" s="191"/>
      <c r="O355" s="190" t="str">
        <f t="shared" si="58"/>
        <v/>
      </c>
      <c r="P355" s="191"/>
      <c r="Q355" s="190" t="str">
        <f t="shared" si="59"/>
        <v/>
      </c>
      <c r="R355" s="191"/>
      <c r="S355" s="190" t="str">
        <f t="shared" ref="S355" si="234">IF(AND(ISNUMBER(O355),ISNUMBER(Q355)),ROUND((O355+Q355)/2, 1),"")</f>
        <v/>
      </c>
      <c r="T355" s="44"/>
    </row>
    <row r="356" spans="1:20" ht="26">
      <c r="A356" s="23"/>
      <c r="B356" s="34" t="s">
        <v>330</v>
      </c>
      <c r="C356" s="35" t="s">
        <v>309</v>
      </c>
      <c r="D356" s="36" t="s">
        <v>25</v>
      </c>
      <c r="E356" s="211" t="str">
        <f t="shared" si="182"/>
        <v>Site Dev - PlanOverview</v>
      </c>
      <c r="F356" s="231" t="s">
        <v>149</v>
      </c>
      <c r="G356" s="36" t="s">
        <v>423</v>
      </c>
      <c r="H356" s="35"/>
      <c r="I356" s="35" t="s">
        <v>137</v>
      </c>
      <c r="J356" s="35"/>
      <c r="K356" s="159">
        <v>1.5</v>
      </c>
      <c r="L356" s="159">
        <v>2</v>
      </c>
      <c r="M356" s="160">
        <v>1</v>
      </c>
      <c r="N356" s="191"/>
      <c r="O356" s="190" t="str">
        <f t="shared" si="58"/>
        <v/>
      </c>
      <c r="P356" s="191"/>
      <c r="Q356" s="190" t="str">
        <f t="shared" si="59"/>
        <v/>
      </c>
      <c r="R356" s="191"/>
      <c r="S356" s="190" t="str">
        <f t="shared" ref="S356" si="235">IF(AND(ISNUMBER(O356),ISNUMBER(Q356)),ROUND((O356+Q356)/2, 1),"")</f>
        <v/>
      </c>
      <c r="T356" s="44"/>
    </row>
    <row r="357" spans="1:20" ht="26">
      <c r="A357" s="23"/>
      <c r="B357" s="34" t="s">
        <v>330</v>
      </c>
      <c r="C357" s="35" t="s">
        <v>309</v>
      </c>
      <c r="D357" s="36" t="s">
        <v>25</v>
      </c>
      <c r="E357" s="211" t="str">
        <f t="shared" si="182"/>
        <v>Site Dev - Portfolio Management</v>
      </c>
      <c r="F357" s="231" t="s">
        <v>149</v>
      </c>
      <c r="G357" s="36" t="s">
        <v>424</v>
      </c>
      <c r="H357" s="35"/>
      <c r="I357" s="35" t="s">
        <v>137</v>
      </c>
      <c r="J357" s="35"/>
      <c r="K357" s="159">
        <v>1.5</v>
      </c>
      <c r="L357" s="159">
        <v>2</v>
      </c>
      <c r="M357" s="160">
        <v>1</v>
      </c>
      <c r="N357" s="191"/>
      <c r="O357" s="190" t="str">
        <f t="shared" si="58"/>
        <v/>
      </c>
      <c r="P357" s="191"/>
      <c r="Q357" s="190" t="str">
        <f t="shared" si="59"/>
        <v/>
      </c>
      <c r="R357" s="191"/>
      <c r="S357" s="190" t="str">
        <f t="shared" ref="S357" si="236">IF(AND(ISNUMBER(O357),ISNUMBER(Q357)),ROUND((O357+Q357)/2, 1),"")</f>
        <v/>
      </c>
      <c r="T357" s="44"/>
    </row>
    <row r="358" spans="1:20" ht="26">
      <c r="A358" s="23"/>
      <c r="B358" s="34" t="s">
        <v>330</v>
      </c>
      <c r="C358" s="35" t="s">
        <v>309</v>
      </c>
      <c r="D358" s="36" t="s">
        <v>25</v>
      </c>
      <c r="E358" s="211" t="str">
        <f t="shared" si="182"/>
        <v>Site Dev - Press &amp; News</v>
      </c>
      <c r="F358" s="231" t="s">
        <v>149</v>
      </c>
      <c r="G358" s="36" t="s">
        <v>425</v>
      </c>
      <c r="H358" s="35"/>
      <c r="I358" s="35" t="s">
        <v>137</v>
      </c>
      <c r="J358" s="35"/>
      <c r="K358" s="159">
        <v>1.5</v>
      </c>
      <c r="L358" s="159">
        <v>2</v>
      </c>
      <c r="M358" s="160">
        <v>1</v>
      </c>
      <c r="N358" s="191"/>
      <c r="O358" s="190" t="str">
        <f t="shared" si="58"/>
        <v/>
      </c>
      <c r="P358" s="191"/>
      <c r="Q358" s="190" t="str">
        <f t="shared" si="59"/>
        <v/>
      </c>
      <c r="R358" s="191"/>
      <c r="S358" s="190" t="str">
        <f t="shared" ref="S358" si="237">IF(AND(ISNUMBER(O358),ISNUMBER(Q358)),ROUND((O358+Q358)/2, 1),"")</f>
        <v/>
      </c>
      <c r="T358" s="44"/>
    </row>
    <row r="359" spans="1:20" ht="26">
      <c r="A359" s="23"/>
      <c r="B359" s="34" t="s">
        <v>330</v>
      </c>
      <c r="C359" s="35" t="s">
        <v>309</v>
      </c>
      <c r="D359" s="36" t="s">
        <v>25</v>
      </c>
      <c r="E359" s="211" t="str">
        <f t="shared" si="182"/>
        <v>Site Dev - Print and Share</v>
      </c>
      <c r="F359" s="231" t="s">
        <v>149</v>
      </c>
      <c r="G359" s="36" t="s">
        <v>426</v>
      </c>
      <c r="H359" s="35"/>
      <c r="I359" s="35" t="s">
        <v>137</v>
      </c>
      <c r="J359" s="35"/>
      <c r="K359" s="159">
        <v>1.5</v>
      </c>
      <c r="L359" s="159">
        <v>2</v>
      </c>
      <c r="M359" s="160">
        <v>1</v>
      </c>
      <c r="N359" s="191"/>
      <c r="O359" s="190" t="str">
        <f t="shared" si="58"/>
        <v/>
      </c>
      <c r="P359" s="191"/>
      <c r="Q359" s="190" t="str">
        <f t="shared" si="59"/>
        <v/>
      </c>
      <c r="R359" s="191"/>
      <c r="S359" s="190" t="str">
        <f t="shared" ref="S359" si="238">IF(AND(ISNUMBER(O359),ISNUMBER(Q359)),ROUND((O359+Q359)/2, 1),"")</f>
        <v/>
      </c>
      <c r="T359" s="44"/>
    </row>
    <row r="360" spans="1:20" ht="26">
      <c r="A360" s="23"/>
      <c r="B360" s="34" t="s">
        <v>330</v>
      </c>
      <c r="C360" s="35" t="s">
        <v>309</v>
      </c>
      <c r="D360" s="36" t="s">
        <v>25</v>
      </c>
      <c r="E360" s="211" t="str">
        <f t="shared" si="182"/>
        <v>Site Dev - Sales Tools</v>
      </c>
      <c r="F360" s="231" t="s">
        <v>149</v>
      </c>
      <c r="G360" s="36" t="s">
        <v>427</v>
      </c>
      <c r="H360" s="35"/>
      <c r="I360" s="35" t="s">
        <v>137</v>
      </c>
      <c r="J360" s="35"/>
      <c r="K360" s="159">
        <v>1.5</v>
      </c>
      <c r="L360" s="159">
        <v>2</v>
      </c>
      <c r="M360" s="160">
        <v>1</v>
      </c>
      <c r="N360" s="191"/>
      <c r="O360" s="190" t="str">
        <f t="shared" si="58"/>
        <v/>
      </c>
      <c r="P360" s="191"/>
      <c r="Q360" s="190" t="str">
        <f t="shared" si="59"/>
        <v/>
      </c>
      <c r="R360" s="191"/>
      <c r="S360" s="190" t="str">
        <f t="shared" ref="S360" si="239">IF(AND(ISNUMBER(O360),ISNUMBER(Q360)),ROUND((O360+Q360)/2, 1),"")</f>
        <v/>
      </c>
      <c r="T360" s="44"/>
    </row>
    <row r="361" spans="1:20" ht="26">
      <c r="A361" s="23"/>
      <c r="B361" s="34" t="s">
        <v>330</v>
      </c>
      <c r="C361" s="35" t="s">
        <v>309</v>
      </c>
      <c r="D361" s="36" t="s">
        <v>25</v>
      </c>
      <c r="E361" s="211" t="str">
        <f t="shared" si="182"/>
        <v>Site Dev - Search</v>
      </c>
      <c r="F361" s="231" t="s">
        <v>149</v>
      </c>
      <c r="G361" s="36" t="s">
        <v>428</v>
      </c>
      <c r="H361" s="35"/>
      <c r="I361" s="35" t="s">
        <v>137</v>
      </c>
      <c r="J361" s="35"/>
      <c r="K361" s="159">
        <v>1.5</v>
      </c>
      <c r="L361" s="159">
        <v>2</v>
      </c>
      <c r="M361" s="160">
        <v>1</v>
      </c>
      <c r="N361" s="191"/>
      <c r="O361" s="190" t="str">
        <f t="shared" si="58"/>
        <v/>
      </c>
      <c r="P361" s="191"/>
      <c r="Q361" s="190" t="str">
        <f t="shared" si="59"/>
        <v/>
      </c>
      <c r="R361" s="191"/>
      <c r="S361" s="190" t="str">
        <f t="shared" ref="S361" si="240">IF(AND(ISNUMBER(O361),ISNUMBER(Q361)),ROUND((O361+Q361)/2, 1),"")</f>
        <v/>
      </c>
      <c r="T361" s="44"/>
    </row>
    <row r="362" spans="1:20" ht="26">
      <c r="A362" s="23"/>
      <c r="B362" s="34" t="s">
        <v>330</v>
      </c>
      <c r="C362" s="35" t="s">
        <v>309</v>
      </c>
      <c r="D362" s="36" t="s">
        <v>25</v>
      </c>
      <c r="E362" s="211" t="str">
        <f t="shared" si="182"/>
        <v>Site Dev - Search Filters</v>
      </c>
      <c r="F362" s="231" t="s">
        <v>149</v>
      </c>
      <c r="G362" s="36" t="s">
        <v>280</v>
      </c>
      <c r="H362" s="35"/>
      <c r="I362" s="35" t="s">
        <v>137</v>
      </c>
      <c r="J362" s="35"/>
      <c r="K362" s="159">
        <v>1.5</v>
      </c>
      <c r="L362" s="159">
        <v>2</v>
      </c>
      <c r="M362" s="160">
        <v>1</v>
      </c>
      <c r="N362" s="191"/>
      <c r="O362" s="190" t="str">
        <f t="shared" si="58"/>
        <v/>
      </c>
      <c r="P362" s="191"/>
      <c r="Q362" s="190" t="str">
        <f t="shared" si="59"/>
        <v/>
      </c>
      <c r="R362" s="191"/>
      <c r="S362" s="190" t="str">
        <f t="shared" ref="S362" si="241">IF(AND(ISNUMBER(O362),ISNUMBER(Q362)),ROUND((O362+Q362)/2, 1),"")</f>
        <v/>
      </c>
      <c r="T362" s="44"/>
    </row>
    <row r="363" spans="1:20" ht="26">
      <c r="A363" s="23"/>
      <c r="B363" s="34" t="s">
        <v>330</v>
      </c>
      <c r="C363" s="35" t="s">
        <v>309</v>
      </c>
      <c r="D363" s="36" t="s">
        <v>25</v>
      </c>
      <c r="E363" s="211" t="str">
        <f t="shared" si="182"/>
        <v>Site Dev - Search Results</v>
      </c>
      <c r="F363" s="231" t="s">
        <v>149</v>
      </c>
      <c r="G363" s="36" t="s">
        <v>429</v>
      </c>
      <c r="H363" s="35"/>
      <c r="I363" s="35" t="s">
        <v>137</v>
      </c>
      <c r="J363" s="35"/>
      <c r="K363" s="159">
        <v>1.5</v>
      </c>
      <c r="L363" s="159">
        <v>2</v>
      </c>
      <c r="M363" s="160">
        <v>1</v>
      </c>
      <c r="N363" s="191"/>
      <c r="O363" s="190" t="str">
        <f t="shared" si="58"/>
        <v/>
      </c>
      <c r="P363" s="191"/>
      <c r="Q363" s="190" t="str">
        <f t="shared" si="59"/>
        <v/>
      </c>
      <c r="R363" s="191"/>
      <c r="S363" s="190" t="str">
        <f t="shared" ref="S363" si="242">IF(AND(ISNUMBER(O363),ISNUMBER(Q363)),ROUND((O363+Q363)/2, 1),"")</f>
        <v/>
      </c>
      <c r="T363" s="44"/>
    </row>
    <row r="364" spans="1:20" ht="26">
      <c r="A364" s="23"/>
      <c r="B364" s="34" t="s">
        <v>330</v>
      </c>
      <c r="C364" s="35" t="s">
        <v>309</v>
      </c>
      <c r="D364" s="36" t="s">
        <v>25</v>
      </c>
      <c r="E364" s="211" t="str">
        <f t="shared" si="182"/>
        <v>Site Dev - Sector Exposure</v>
      </c>
      <c r="F364" s="231" t="s">
        <v>149</v>
      </c>
      <c r="G364" s="36" t="s">
        <v>430</v>
      </c>
      <c r="H364" s="35"/>
      <c r="I364" s="35" t="s">
        <v>137</v>
      </c>
      <c r="J364" s="35"/>
      <c r="K364" s="159">
        <v>1.5</v>
      </c>
      <c r="L364" s="159">
        <v>2</v>
      </c>
      <c r="M364" s="160">
        <v>1</v>
      </c>
      <c r="N364" s="191"/>
      <c r="O364" s="190" t="str">
        <f t="shared" si="58"/>
        <v/>
      </c>
      <c r="P364" s="191"/>
      <c r="Q364" s="190" t="str">
        <f t="shared" si="59"/>
        <v/>
      </c>
      <c r="R364" s="191"/>
      <c r="S364" s="190" t="str">
        <f t="shared" ref="S364:S379" si="243">IF(AND(ISNUMBER(O364),ISNUMBER(Q364)),ROUND((O364+Q364)/2, 1),"")</f>
        <v/>
      </c>
      <c r="T364" s="44"/>
    </row>
    <row r="365" spans="1:20" ht="26">
      <c r="A365" s="23"/>
      <c r="B365" s="34" t="s">
        <v>330</v>
      </c>
      <c r="C365" s="35" t="s">
        <v>309</v>
      </c>
      <c r="D365" s="36" t="s">
        <v>25</v>
      </c>
      <c r="E365" s="211" t="str">
        <f t="shared" si="182"/>
        <v>Site Dev - Segmentation</v>
      </c>
      <c r="F365" s="231" t="s">
        <v>149</v>
      </c>
      <c r="G365" s="36" t="s">
        <v>431</v>
      </c>
      <c r="H365" s="35"/>
      <c r="I365" s="35" t="s">
        <v>137</v>
      </c>
      <c r="J365" s="35"/>
      <c r="K365" s="159">
        <v>1.5</v>
      </c>
      <c r="L365" s="159">
        <v>2</v>
      </c>
      <c r="M365" s="160">
        <v>1</v>
      </c>
      <c r="N365" s="191"/>
      <c r="O365" s="190" t="str">
        <f t="shared" si="58"/>
        <v/>
      </c>
      <c r="P365" s="191"/>
      <c r="Q365" s="190" t="str">
        <f t="shared" si="59"/>
        <v/>
      </c>
      <c r="R365" s="191"/>
      <c r="S365" s="190" t="str">
        <f t="shared" si="243"/>
        <v/>
      </c>
      <c r="T365" s="44"/>
    </row>
    <row r="366" spans="1:20" ht="26">
      <c r="A366" s="23"/>
      <c r="B366" s="34" t="s">
        <v>330</v>
      </c>
      <c r="C366" s="35" t="s">
        <v>309</v>
      </c>
      <c r="D366" s="36" t="s">
        <v>25</v>
      </c>
      <c r="E366" s="211" t="str">
        <f t="shared" si="182"/>
        <v>Site Dev - Selection Box</v>
      </c>
      <c r="F366" s="231" t="s">
        <v>149</v>
      </c>
      <c r="G366" s="36" t="s">
        <v>432</v>
      </c>
      <c r="H366" s="35"/>
      <c r="I366" s="35" t="s">
        <v>137</v>
      </c>
      <c r="J366" s="35"/>
      <c r="K366" s="159">
        <v>1.5</v>
      </c>
      <c r="L366" s="159">
        <v>2</v>
      </c>
      <c r="M366" s="160">
        <v>1</v>
      </c>
      <c r="N366" s="191"/>
      <c r="O366" s="190" t="str">
        <f t="shared" si="58"/>
        <v/>
      </c>
      <c r="P366" s="191"/>
      <c r="Q366" s="190" t="str">
        <f>IF(AND($I366="In",ISNUMBER($L366)),$M366*$L366,"")</f>
        <v/>
      </c>
      <c r="R366" s="191"/>
      <c r="S366" s="190" t="str">
        <f t="shared" si="243"/>
        <v/>
      </c>
      <c r="T366" s="44"/>
    </row>
    <row r="367" spans="1:20" ht="26">
      <c r="A367" s="23"/>
      <c r="B367" s="34" t="s">
        <v>330</v>
      </c>
      <c r="C367" s="35" t="s">
        <v>309</v>
      </c>
      <c r="D367" s="36" t="s">
        <v>25</v>
      </c>
      <c r="E367" s="211" t="str">
        <f t="shared" si="182"/>
        <v>Site Dev - Seminar</v>
      </c>
      <c r="F367" s="231" t="s">
        <v>149</v>
      </c>
      <c r="G367" s="36" t="s">
        <v>433</v>
      </c>
      <c r="H367" s="35"/>
      <c r="I367" s="35" t="s">
        <v>137</v>
      </c>
      <c r="J367" s="35"/>
      <c r="K367" s="159">
        <v>1.5</v>
      </c>
      <c r="L367" s="159">
        <v>2</v>
      </c>
      <c r="M367" s="160">
        <v>1</v>
      </c>
      <c r="N367" s="191"/>
      <c r="O367" s="190" t="str">
        <f>IF(AND($I367="In",ISNUMBER($K367)),$M367*$K367,"")</f>
        <v/>
      </c>
      <c r="P367" s="191"/>
      <c r="Q367" s="190" t="str">
        <f>IF(AND($I367="In",ISNUMBER($L367)),$M367*$L367,"")</f>
        <v/>
      </c>
      <c r="R367" s="191"/>
      <c r="S367" s="190" t="str">
        <f t="shared" si="243"/>
        <v/>
      </c>
      <c r="T367" s="44"/>
    </row>
    <row r="368" spans="1:20" ht="26">
      <c r="A368" s="23"/>
      <c r="B368" s="34" t="s">
        <v>330</v>
      </c>
      <c r="C368" s="35" t="s">
        <v>309</v>
      </c>
      <c r="D368" s="36" t="s">
        <v>25</v>
      </c>
      <c r="E368" s="211" t="str">
        <f t="shared" si="182"/>
        <v>Site Dev - Spotlight</v>
      </c>
      <c r="F368" s="231" t="s">
        <v>149</v>
      </c>
      <c r="G368" s="36" t="s">
        <v>434</v>
      </c>
      <c r="H368" s="35"/>
      <c r="I368" s="35" t="s">
        <v>137</v>
      </c>
      <c r="J368" s="35"/>
      <c r="K368" s="159">
        <v>1.5</v>
      </c>
      <c r="L368" s="159">
        <v>2</v>
      </c>
      <c r="M368" s="160">
        <v>1</v>
      </c>
      <c r="N368" s="191"/>
      <c r="O368" s="190" t="str">
        <f t="shared" si="58"/>
        <v/>
      </c>
      <c r="P368" s="191"/>
      <c r="Q368" s="190" t="str">
        <f>IF(AND($I368="In",ISNUMBER($L368)),$M368*$L368,"")</f>
        <v/>
      </c>
      <c r="R368" s="191"/>
      <c r="S368" s="190" t="str">
        <f t="shared" si="243"/>
        <v/>
      </c>
      <c r="T368" s="44"/>
    </row>
    <row r="369" spans="1:20" ht="26">
      <c r="A369" s="23"/>
      <c r="B369" s="34" t="s">
        <v>330</v>
      </c>
      <c r="C369" s="35" t="s">
        <v>309</v>
      </c>
      <c r="D369" s="36" t="s">
        <v>25</v>
      </c>
      <c r="E369" s="211" t="str">
        <f t="shared" si="182"/>
        <v>Site Dev - Static Portfolios</v>
      </c>
      <c r="F369" s="231" t="s">
        <v>149</v>
      </c>
      <c r="G369" s="36" t="s">
        <v>435</v>
      </c>
      <c r="H369" s="35"/>
      <c r="I369" s="35" t="s">
        <v>137</v>
      </c>
      <c r="J369" s="35"/>
      <c r="K369" s="159">
        <v>1.5</v>
      </c>
      <c r="L369" s="159">
        <v>2</v>
      </c>
      <c r="M369" s="160">
        <v>1</v>
      </c>
      <c r="N369" s="191"/>
      <c r="O369" s="190" t="str">
        <f t="shared" si="58"/>
        <v/>
      </c>
      <c r="P369" s="191"/>
      <c r="Q369" s="190" t="str">
        <f t="shared" si="59"/>
        <v/>
      </c>
      <c r="R369" s="191"/>
      <c r="S369" s="190" t="str">
        <f t="shared" si="243"/>
        <v/>
      </c>
      <c r="T369" s="44"/>
    </row>
    <row r="370" spans="1:20" ht="26">
      <c r="A370" s="23"/>
      <c r="B370" s="34" t="s">
        <v>330</v>
      </c>
      <c r="C370" s="35" t="s">
        <v>309</v>
      </c>
      <c r="D370" s="36" t="s">
        <v>25</v>
      </c>
      <c r="E370" s="211" t="str">
        <f t="shared" si="182"/>
        <v>Site Dev - Strategic Spotlight</v>
      </c>
      <c r="F370" s="231" t="s">
        <v>149</v>
      </c>
      <c r="G370" s="36" t="s">
        <v>436</v>
      </c>
      <c r="H370" s="35"/>
      <c r="I370" s="35" t="s">
        <v>137</v>
      </c>
      <c r="J370" s="35"/>
      <c r="K370" s="159">
        <v>1.5</v>
      </c>
      <c r="L370" s="159">
        <v>2</v>
      </c>
      <c r="M370" s="160">
        <v>1</v>
      </c>
      <c r="N370" s="191"/>
      <c r="O370" s="190" t="str">
        <f t="shared" si="58"/>
        <v/>
      </c>
      <c r="P370" s="191"/>
      <c r="Q370" s="190" t="str">
        <f t="shared" si="59"/>
        <v/>
      </c>
      <c r="R370" s="191"/>
      <c r="S370" s="190" t="str">
        <f t="shared" si="243"/>
        <v/>
      </c>
      <c r="T370" s="44"/>
    </row>
    <row r="371" spans="1:20" ht="26">
      <c r="A371" s="23"/>
      <c r="B371" s="34" t="s">
        <v>330</v>
      </c>
      <c r="C371" s="35" t="s">
        <v>309</v>
      </c>
      <c r="D371" s="36" t="s">
        <v>25</v>
      </c>
      <c r="E371" s="211" t="str">
        <f t="shared" si="182"/>
        <v>Site Dev - TabComponent</v>
      </c>
      <c r="F371" s="231" t="s">
        <v>149</v>
      </c>
      <c r="G371" s="36" t="s">
        <v>437</v>
      </c>
      <c r="H371" s="35"/>
      <c r="I371" s="35" t="s">
        <v>137</v>
      </c>
      <c r="J371" s="35"/>
      <c r="K371" s="159">
        <v>1.5</v>
      </c>
      <c r="L371" s="159">
        <v>2</v>
      </c>
      <c r="M371" s="160">
        <v>1</v>
      </c>
      <c r="N371" s="191"/>
      <c r="O371" s="190" t="str">
        <f t="shared" si="58"/>
        <v/>
      </c>
      <c r="P371" s="191"/>
      <c r="Q371" s="190" t="str">
        <f t="shared" si="59"/>
        <v/>
      </c>
      <c r="R371" s="191"/>
      <c r="S371" s="190" t="str">
        <f t="shared" si="243"/>
        <v/>
      </c>
      <c r="T371" s="44"/>
    </row>
    <row r="372" spans="1:20" ht="26">
      <c r="A372" s="23"/>
      <c r="B372" s="34" t="s">
        <v>330</v>
      </c>
      <c r="C372" s="35" t="s">
        <v>309</v>
      </c>
      <c r="D372" s="36" t="s">
        <v>25</v>
      </c>
      <c r="E372" s="211" t="str">
        <f t="shared" si="182"/>
        <v>Site Dev - Text</v>
      </c>
      <c r="F372" s="231" t="s">
        <v>149</v>
      </c>
      <c r="G372" s="36" t="s">
        <v>438</v>
      </c>
      <c r="H372" s="35"/>
      <c r="I372" s="35" t="s">
        <v>137</v>
      </c>
      <c r="J372" s="35"/>
      <c r="K372" s="159">
        <v>1.5</v>
      </c>
      <c r="L372" s="159">
        <v>2</v>
      </c>
      <c r="M372" s="160">
        <v>1</v>
      </c>
      <c r="N372" s="191"/>
      <c r="O372" s="190" t="str">
        <f t="shared" si="58"/>
        <v/>
      </c>
      <c r="P372" s="191"/>
      <c r="Q372" s="190" t="str">
        <f t="shared" si="59"/>
        <v/>
      </c>
      <c r="R372" s="191"/>
      <c r="S372" s="190" t="str">
        <f t="shared" si="243"/>
        <v/>
      </c>
      <c r="T372" s="44"/>
    </row>
    <row r="373" spans="1:20" ht="26">
      <c r="A373" s="23"/>
      <c r="B373" s="34" t="s">
        <v>330</v>
      </c>
      <c r="C373" s="35" t="s">
        <v>309</v>
      </c>
      <c r="D373" s="36" t="s">
        <v>25</v>
      </c>
      <c r="E373" s="211" t="str">
        <f t="shared" si="182"/>
        <v>Site Dev - Text and links</v>
      </c>
      <c r="F373" s="231" t="s">
        <v>149</v>
      </c>
      <c r="G373" s="36" t="s">
        <v>439</v>
      </c>
      <c r="H373" s="35"/>
      <c r="I373" s="35" t="s">
        <v>137</v>
      </c>
      <c r="J373" s="35"/>
      <c r="K373" s="159">
        <v>1.5</v>
      </c>
      <c r="L373" s="159">
        <v>2</v>
      </c>
      <c r="M373" s="160">
        <v>1</v>
      </c>
      <c r="N373" s="191"/>
      <c r="O373" s="190" t="str">
        <f t="shared" si="58"/>
        <v/>
      </c>
      <c r="P373" s="191"/>
      <c r="Q373" s="190" t="str">
        <f t="shared" si="59"/>
        <v/>
      </c>
      <c r="R373" s="191"/>
      <c r="S373" s="190" t="str">
        <f t="shared" si="243"/>
        <v/>
      </c>
      <c r="T373" s="44"/>
    </row>
    <row r="374" spans="1:20" ht="26">
      <c r="A374" s="23"/>
      <c r="B374" s="34" t="s">
        <v>330</v>
      </c>
      <c r="C374" s="35" t="s">
        <v>309</v>
      </c>
      <c r="D374" s="36" t="s">
        <v>25</v>
      </c>
      <c r="E374" s="211" t="str">
        <f t="shared" si="182"/>
        <v>Site Dev - Tiles</v>
      </c>
      <c r="F374" s="231" t="s">
        <v>149</v>
      </c>
      <c r="G374" s="36" t="s">
        <v>441</v>
      </c>
      <c r="H374" s="35"/>
      <c r="I374" s="35" t="s">
        <v>137</v>
      </c>
      <c r="J374" s="35"/>
      <c r="K374" s="159">
        <v>1.5</v>
      </c>
      <c r="L374" s="159">
        <v>2</v>
      </c>
      <c r="M374" s="160">
        <v>1</v>
      </c>
      <c r="N374" s="191"/>
      <c r="O374" s="190" t="str">
        <f t="shared" si="58"/>
        <v/>
      </c>
      <c r="P374" s="191"/>
      <c r="Q374" s="190" t="str">
        <f t="shared" si="59"/>
        <v/>
      </c>
      <c r="R374" s="191"/>
      <c r="S374" s="190" t="str">
        <f t="shared" si="243"/>
        <v/>
      </c>
      <c r="T374" s="44"/>
    </row>
    <row r="375" spans="1:20" ht="26">
      <c r="A375" s="23"/>
      <c r="B375" s="34" t="s">
        <v>330</v>
      </c>
      <c r="C375" s="35" t="s">
        <v>309</v>
      </c>
      <c r="D375" s="36" t="s">
        <v>25</v>
      </c>
      <c r="E375" s="211" t="str">
        <f t="shared" ref="E375:E386" si="244">CONCATENATE("Site Dev - ",G375)</f>
        <v>Site Dev - Timeline</v>
      </c>
      <c r="F375" s="231" t="s">
        <v>149</v>
      </c>
      <c r="G375" s="36" t="s">
        <v>442</v>
      </c>
      <c r="H375" s="35"/>
      <c r="I375" s="35" t="s">
        <v>137</v>
      </c>
      <c r="J375" s="35"/>
      <c r="K375" s="159">
        <v>1.5</v>
      </c>
      <c r="L375" s="159">
        <v>2</v>
      </c>
      <c r="M375" s="160">
        <v>1</v>
      </c>
      <c r="N375" s="191"/>
      <c r="O375" s="190" t="str">
        <f t="shared" si="58"/>
        <v/>
      </c>
      <c r="P375" s="191"/>
      <c r="Q375" s="190" t="str">
        <f t="shared" si="59"/>
        <v/>
      </c>
      <c r="R375" s="191"/>
      <c r="S375" s="190" t="str">
        <f t="shared" si="243"/>
        <v/>
      </c>
      <c r="T375" s="44"/>
    </row>
    <row r="376" spans="1:20" ht="26">
      <c r="A376" s="23"/>
      <c r="B376" s="34" t="s">
        <v>330</v>
      </c>
      <c r="C376" s="35" t="s">
        <v>309</v>
      </c>
      <c r="D376" s="36" t="s">
        <v>25</v>
      </c>
      <c r="E376" s="211" t="str">
        <f t="shared" si="244"/>
        <v>Site Dev - Title and Text</v>
      </c>
      <c r="F376" s="231" t="s">
        <v>149</v>
      </c>
      <c r="G376" s="36" t="s">
        <v>443</v>
      </c>
      <c r="H376" s="35"/>
      <c r="I376" s="35" t="s">
        <v>137</v>
      </c>
      <c r="J376" s="35"/>
      <c r="K376" s="159">
        <v>1.5</v>
      </c>
      <c r="L376" s="159">
        <v>2</v>
      </c>
      <c r="M376" s="160">
        <v>1</v>
      </c>
      <c r="N376" s="191"/>
      <c r="O376" s="190" t="str">
        <f t="shared" si="58"/>
        <v/>
      </c>
      <c r="P376" s="191"/>
      <c r="Q376" s="190" t="str">
        <f t="shared" si="59"/>
        <v/>
      </c>
      <c r="R376" s="191"/>
      <c r="S376" s="190" t="str">
        <f t="shared" si="243"/>
        <v/>
      </c>
      <c r="T376" s="44"/>
    </row>
    <row r="377" spans="1:20" ht="26">
      <c r="A377" s="23"/>
      <c r="B377" s="34" t="s">
        <v>330</v>
      </c>
      <c r="C377" s="35" t="s">
        <v>309</v>
      </c>
      <c r="D377" s="36" t="s">
        <v>25</v>
      </c>
      <c r="E377" s="211" t="str">
        <f t="shared" si="244"/>
        <v>Site Dev - title and text + Links</v>
      </c>
      <c r="F377" s="231" t="s">
        <v>149</v>
      </c>
      <c r="G377" s="36" t="s">
        <v>444</v>
      </c>
      <c r="H377" s="35"/>
      <c r="I377" s="35" t="s">
        <v>137</v>
      </c>
      <c r="J377" s="35"/>
      <c r="K377" s="159">
        <v>1.5</v>
      </c>
      <c r="L377" s="159">
        <v>2</v>
      </c>
      <c r="M377" s="160">
        <v>1</v>
      </c>
      <c r="N377" s="191"/>
      <c r="O377" s="190" t="str">
        <f t="shared" si="58"/>
        <v/>
      </c>
      <c r="P377" s="191"/>
      <c r="Q377" s="190" t="str">
        <f t="shared" si="59"/>
        <v/>
      </c>
      <c r="R377" s="191"/>
      <c r="S377" s="190" t="str">
        <f t="shared" si="243"/>
        <v/>
      </c>
      <c r="T377" s="44"/>
    </row>
    <row r="378" spans="1:20" ht="26">
      <c r="A378" s="23"/>
      <c r="B378" s="34" t="s">
        <v>330</v>
      </c>
      <c r="C378" s="35" t="s">
        <v>309</v>
      </c>
      <c r="D378" s="36" t="s">
        <v>25</v>
      </c>
      <c r="E378" s="211" t="str">
        <f t="shared" si="244"/>
        <v>Site Dev - Title with Jump Section</v>
      </c>
      <c r="F378" s="231" t="s">
        <v>149</v>
      </c>
      <c r="G378" s="36" t="s">
        <v>445</v>
      </c>
      <c r="H378" s="35"/>
      <c r="I378" s="35" t="s">
        <v>137</v>
      </c>
      <c r="J378" s="35"/>
      <c r="K378" s="159">
        <v>1.5</v>
      </c>
      <c r="L378" s="159">
        <v>2</v>
      </c>
      <c r="M378" s="160">
        <v>1</v>
      </c>
      <c r="N378" s="191"/>
      <c r="O378" s="190" t="str">
        <f t="shared" si="58"/>
        <v/>
      </c>
      <c r="P378" s="191"/>
      <c r="Q378" s="190" t="str">
        <f t="shared" si="59"/>
        <v/>
      </c>
      <c r="R378" s="191"/>
      <c r="S378" s="190" t="str">
        <f t="shared" si="243"/>
        <v/>
      </c>
      <c r="T378" s="44"/>
    </row>
    <row r="379" spans="1:20" ht="26">
      <c r="B379" s="34" t="s">
        <v>330</v>
      </c>
      <c r="C379" s="35" t="s">
        <v>309</v>
      </c>
      <c r="D379" s="36" t="s">
        <v>25</v>
      </c>
      <c r="E379" s="211" t="str">
        <f t="shared" si="244"/>
        <v>Site Dev - Top Navigation</v>
      </c>
      <c r="F379" s="231" t="s">
        <v>149</v>
      </c>
      <c r="G379" s="36" t="s">
        <v>446</v>
      </c>
      <c r="H379" s="35"/>
      <c r="I379" s="35" t="s">
        <v>137</v>
      </c>
      <c r="J379" s="35"/>
      <c r="K379" s="159">
        <v>1.5</v>
      </c>
      <c r="L379" s="159">
        <v>2</v>
      </c>
      <c r="M379" s="160">
        <v>1</v>
      </c>
      <c r="N379" s="192"/>
      <c r="O379" s="190" t="str">
        <f t="shared" si="58"/>
        <v/>
      </c>
      <c r="P379" s="192"/>
      <c r="Q379" s="193" t="str">
        <f t="shared" si="59"/>
        <v/>
      </c>
      <c r="R379" s="192"/>
      <c r="S379" s="193" t="str">
        <f t="shared" si="243"/>
        <v/>
      </c>
      <c r="T379" s="45"/>
    </row>
    <row r="380" spans="1:20" ht="26">
      <c r="A380" s="23"/>
      <c r="B380" s="34" t="s">
        <v>330</v>
      </c>
      <c r="C380" s="35" t="s">
        <v>309</v>
      </c>
      <c r="D380" s="36" t="s">
        <v>25</v>
      </c>
      <c r="E380" s="211" t="str">
        <f t="shared" si="244"/>
        <v>Site Dev - Top Ten Holdings</v>
      </c>
      <c r="F380" s="231" t="s">
        <v>149</v>
      </c>
      <c r="G380" s="36" t="s">
        <v>447</v>
      </c>
      <c r="H380" s="35"/>
      <c r="I380" s="35" t="s">
        <v>137</v>
      </c>
      <c r="J380" s="35"/>
      <c r="K380" s="159">
        <v>1.5</v>
      </c>
      <c r="L380" s="159">
        <v>2</v>
      </c>
      <c r="M380" s="160">
        <v>1</v>
      </c>
      <c r="N380" s="191"/>
      <c r="O380" s="190" t="str">
        <f>IF(AND($I380="In",ISNUMBER($K380)),$M380*$K380,"")</f>
        <v/>
      </c>
      <c r="P380" s="191"/>
      <c r="Q380" s="190" t="str">
        <f>IF(AND($I380="In",ISNUMBER($L380)),$M380*$L380,"")</f>
        <v/>
      </c>
      <c r="R380" s="191"/>
      <c r="S380" s="190" t="str">
        <f t="shared" ref="S380:S386" si="245">IF(AND(ISNUMBER(O380),ISNUMBER(Q380)),ROUND((O380+Q380)/2, 1),"")</f>
        <v/>
      </c>
      <c r="T380" s="44"/>
    </row>
    <row r="381" spans="1:20" ht="26">
      <c r="A381" s="23"/>
      <c r="B381" s="34" t="s">
        <v>330</v>
      </c>
      <c r="C381" s="35" t="s">
        <v>309</v>
      </c>
      <c r="D381" s="36" t="s">
        <v>25</v>
      </c>
      <c r="E381" s="211" t="str">
        <f t="shared" si="244"/>
        <v>Site Dev - UserProfile</v>
      </c>
      <c r="F381" s="231" t="s">
        <v>149</v>
      </c>
      <c r="G381" s="36" t="s">
        <v>448</v>
      </c>
      <c r="H381" s="35"/>
      <c r="I381" s="35" t="s">
        <v>137</v>
      </c>
      <c r="J381" s="35"/>
      <c r="K381" s="159">
        <v>1.5</v>
      </c>
      <c r="L381" s="159">
        <v>2</v>
      </c>
      <c r="M381" s="160">
        <v>1</v>
      </c>
      <c r="N381" s="191"/>
      <c r="O381" s="190" t="str">
        <f t="shared" si="58"/>
        <v/>
      </c>
      <c r="P381" s="191"/>
      <c r="Q381" s="190" t="str">
        <f t="shared" si="59"/>
        <v/>
      </c>
      <c r="R381" s="191"/>
      <c r="S381" s="190" t="str">
        <f t="shared" si="245"/>
        <v/>
      </c>
      <c r="T381" s="44"/>
    </row>
    <row r="382" spans="1:20" ht="26">
      <c r="A382" s="23"/>
      <c r="B382" s="34" t="s">
        <v>330</v>
      </c>
      <c r="C382" s="35" t="s">
        <v>309</v>
      </c>
      <c r="D382" s="36" t="s">
        <v>25</v>
      </c>
      <c r="E382" s="211" t="str">
        <f t="shared" si="244"/>
        <v>Site Dev - Utility Footer</v>
      </c>
      <c r="F382" s="231" t="s">
        <v>149</v>
      </c>
      <c r="G382" s="36" t="s">
        <v>449</v>
      </c>
      <c r="H382" s="35"/>
      <c r="I382" s="35" t="s">
        <v>137</v>
      </c>
      <c r="J382" s="35"/>
      <c r="K382" s="159">
        <v>1.5</v>
      </c>
      <c r="L382" s="159">
        <v>2</v>
      </c>
      <c r="M382" s="160">
        <v>1</v>
      </c>
      <c r="N382" s="191"/>
      <c r="O382" s="190" t="str">
        <f t="shared" si="58"/>
        <v/>
      </c>
      <c r="P382" s="191"/>
      <c r="Q382" s="190" t="str">
        <f t="shared" si="59"/>
        <v/>
      </c>
      <c r="R382" s="191"/>
      <c r="S382" s="190" t="str">
        <f>IF(AND(ISNUMBER(O382),ISNUMBER(Q382)),ROUND((O382+Q382)/2, 1),"")</f>
        <v/>
      </c>
      <c r="T382" s="44"/>
    </row>
    <row r="383" spans="1:20" ht="26">
      <c r="A383" s="23"/>
      <c r="B383" s="34" t="s">
        <v>330</v>
      </c>
      <c r="C383" s="35" t="s">
        <v>309</v>
      </c>
      <c r="D383" s="36" t="s">
        <v>25</v>
      </c>
      <c r="E383" s="211" t="str">
        <f t="shared" si="244"/>
        <v>Site Dev - Utility Navigation</v>
      </c>
      <c r="F383" s="231" t="s">
        <v>149</v>
      </c>
      <c r="G383" s="36" t="s">
        <v>450</v>
      </c>
      <c r="H383" s="35"/>
      <c r="I383" s="35" t="s">
        <v>137</v>
      </c>
      <c r="J383" s="35"/>
      <c r="K383" s="159">
        <v>1.5</v>
      </c>
      <c r="L383" s="159">
        <v>2</v>
      </c>
      <c r="M383" s="160">
        <v>1</v>
      </c>
      <c r="N383" s="191"/>
      <c r="O383" s="190" t="str">
        <f t="shared" si="58"/>
        <v/>
      </c>
      <c r="P383" s="191"/>
      <c r="Q383" s="190" t="str">
        <f t="shared" si="59"/>
        <v/>
      </c>
      <c r="R383" s="191"/>
      <c r="S383" s="190" t="str">
        <f t="shared" si="245"/>
        <v/>
      </c>
      <c r="T383" s="44"/>
    </row>
    <row r="384" spans="1:20" ht="26">
      <c r="A384" s="23"/>
      <c r="B384" s="34"/>
      <c r="C384" s="35" t="s">
        <v>309</v>
      </c>
      <c r="D384" s="36" t="s">
        <v>25</v>
      </c>
      <c r="E384" s="211" t="str">
        <f t="shared" si="244"/>
        <v>Site Dev - Login</v>
      </c>
      <c r="F384" s="231" t="s">
        <v>149</v>
      </c>
      <c r="G384" t="s">
        <v>281</v>
      </c>
      <c r="H384" s="35"/>
      <c r="I384" s="35" t="s">
        <v>137</v>
      </c>
      <c r="J384" s="35"/>
      <c r="K384" s="159">
        <v>1.5</v>
      </c>
      <c r="L384" s="159">
        <v>2</v>
      </c>
      <c r="M384" s="160">
        <v>1</v>
      </c>
      <c r="N384" s="191"/>
      <c r="O384" s="190" t="str">
        <f t="shared" si="58"/>
        <v/>
      </c>
      <c r="P384" s="191"/>
      <c r="Q384" s="190" t="str">
        <f t="shared" si="59"/>
        <v/>
      </c>
      <c r="R384" s="191"/>
      <c r="S384" s="190" t="str">
        <f t="shared" si="245"/>
        <v/>
      </c>
      <c r="T384" s="44"/>
    </row>
    <row r="385" spans="1:20" ht="26">
      <c r="A385" s="23"/>
      <c r="B385" s="34"/>
      <c r="C385" s="35" t="s">
        <v>309</v>
      </c>
      <c r="D385" s="36" t="s">
        <v>25</v>
      </c>
      <c r="E385" s="211" t="str">
        <f t="shared" si="244"/>
        <v>Site Dev - Register</v>
      </c>
      <c r="F385" s="231" t="s">
        <v>149</v>
      </c>
      <c r="G385" t="s">
        <v>451</v>
      </c>
      <c r="H385" s="35"/>
      <c r="I385" s="35" t="s">
        <v>137</v>
      </c>
      <c r="J385" s="35"/>
      <c r="K385" s="159">
        <v>1.5</v>
      </c>
      <c r="L385" s="159">
        <v>2</v>
      </c>
      <c r="M385" s="160">
        <v>1</v>
      </c>
      <c r="N385" s="191"/>
      <c r="O385" s="190" t="str">
        <f t="shared" si="58"/>
        <v/>
      </c>
      <c r="P385" s="191"/>
      <c r="Q385" s="190" t="str">
        <f t="shared" si="59"/>
        <v/>
      </c>
      <c r="R385" s="191"/>
      <c r="S385" s="190" t="str">
        <f t="shared" si="245"/>
        <v/>
      </c>
      <c r="T385" s="44"/>
    </row>
    <row r="386" spans="1:20" ht="26">
      <c r="A386" s="23"/>
      <c r="B386" s="34"/>
      <c r="C386" s="35" t="s">
        <v>309</v>
      </c>
      <c r="D386" s="36" t="s">
        <v>25</v>
      </c>
      <c r="E386" s="211" t="str">
        <f t="shared" si="244"/>
        <v>Site Dev - Register Comfirmation</v>
      </c>
      <c r="F386" s="231" t="s">
        <v>149</v>
      </c>
      <c r="G386" t="s">
        <v>452</v>
      </c>
      <c r="H386" s="35"/>
      <c r="I386" s="35" t="s">
        <v>137</v>
      </c>
      <c r="J386" s="35"/>
      <c r="K386" s="159">
        <v>1.5</v>
      </c>
      <c r="L386" s="159">
        <v>2</v>
      </c>
      <c r="M386" s="160">
        <v>1</v>
      </c>
      <c r="N386" s="191"/>
      <c r="O386" s="190" t="str">
        <f t="shared" si="58"/>
        <v/>
      </c>
      <c r="P386" s="191"/>
      <c r="Q386" s="190" t="str">
        <f t="shared" si="59"/>
        <v/>
      </c>
      <c r="R386" s="191"/>
      <c r="S386" s="190" t="str">
        <f t="shared" si="245"/>
        <v/>
      </c>
      <c r="T386" s="44"/>
    </row>
    <row r="387" spans="1:20">
      <c r="A387" s="23"/>
      <c r="B387" s="34" t="s">
        <v>129</v>
      </c>
      <c r="C387" s="35" t="s">
        <v>474</v>
      </c>
      <c r="D387" s="36" t="s">
        <v>25</v>
      </c>
      <c r="E387" s="36" t="s">
        <v>487</v>
      </c>
      <c r="F387" s="231" t="s">
        <v>135</v>
      </c>
      <c r="G387" s="36" t="s">
        <v>488</v>
      </c>
      <c r="H387" s="35"/>
      <c r="I387" s="35" t="s">
        <v>132</v>
      </c>
      <c r="J387" s="35"/>
      <c r="K387" s="284">
        <v>3</v>
      </c>
      <c r="L387" s="284">
        <v>5</v>
      </c>
      <c r="M387" s="160">
        <v>1</v>
      </c>
      <c r="N387" s="191"/>
      <c r="O387" s="190">
        <f>IF(AND($I387="In",ISNUMBER($K387)),$M387*$K387,"")</f>
        <v>3</v>
      </c>
      <c r="P387" s="191"/>
      <c r="Q387" s="190">
        <f>IF(AND($I387="In",ISNUMBER($L387)),$M387*$L387,"")</f>
        <v>5</v>
      </c>
      <c r="R387" s="191"/>
      <c r="S387" s="190">
        <f>IF(AND(ISNUMBER(O387),ISNUMBER(Q387)),ROUND((O387+Q387)/2, 1),"")</f>
        <v>4</v>
      </c>
      <c r="T387" s="44"/>
    </row>
    <row r="388" spans="1:20" ht="52">
      <c r="A388" s="23"/>
      <c r="B388" s="34" t="s">
        <v>129</v>
      </c>
      <c r="C388" s="35" t="s">
        <v>474</v>
      </c>
      <c r="D388" s="36" t="s">
        <v>25</v>
      </c>
      <c r="E388" s="36" t="s">
        <v>489</v>
      </c>
      <c r="F388" s="231" t="s">
        <v>135</v>
      </c>
      <c r="G388" s="36" t="s">
        <v>490</v>
      </c>
      <c r="H388" s="35"/>
      <c r="I388" s="35" t="s">
        <v>132</v>
      </c>
      <c r="J388" s="35"/>
      <c r="K388" s="159">
        <v>2</v>
      </c>
      <c r="L388" s="159">
        <v>3</v>
      </c>
      <c r="M388" s="160">
        <v>4</v>
      </c>
      <c r="N388" s="191"/>
      <c r="O388" s="190">
        <f>IF(AND($I388="In",ISNUMBER($K388)),$M388*$K388,"")</f>
        <v>8</v>
      </c>
      <c r="P388" s="191"/>
      <c r="Q388" s="190">
        <f>IF(AND($I388="In",ISNUMBER($L388)),$M388*$L388,"")</f>
        <v>12</v>
      </c>
      <c r="R388" s="191"/>
      <c r="S388" s="190">
        <f>IF(AND(ISNUMBER(O388),ISNUMBER(Q388)),ROUND((O388+Q388)/2, 1),"")</f>
        <v>10</v>
      </c>
      <c r="T388" s="44"/>
    </row>
    <row r="389" spans="1:20" ht="26">
      <c r="A389" s="303"/>
      <c r="B389" s="34" t="s">
        <v>129</v>
      </c>
      <c r="C389" s="35" t="s">
        <v>491</v>
      </c>
      <c r="D389" s="36" t="s">
        <v>26</v>
      </c>
      <c r="E389" s="36" t="s">
        <v>492</v>
      </c>
      <c r="F389" s="231" t="s">
        <v>135</v>
      </c>
      <c r="G389" s="36" t="s">
        <v>493</v>
      </c>
      <c r="H389" s="35"/>
      <c r="I389" s="35" t="s">
        <v>132</v>
      </c>
      <c r="J389" s="35"/>
      <c r="K389" s="159">
        <v>1</v>
      </c>
      <c r="L389" s="159">
        <v>2</v>
      </c>
      <c r="M389" s="160">
        <v>10</v>
      </c>
      <c r="N389" s="191"/>
      <c r="O389" s="190">
        <f t="shared" ref="O389" si="246">IF(AND($I389="In",ISNUMBER($K389)),$M389*$K389,"")</f>
        <v>10</v>
      </c>
      <c r="P389" s="191"/>
      <c r="Q389" s="190">
        <f t="shared" ref="Q389" si="247">IF(AND($I389="In",ISNUMBER($L389)),$M389*$L389,"")</f>
        <v>20</v>
      </c>
      <c r="R389" s="191"/>
      <c r="S389" s="190">
        <f>IF(AND(ISNUMBER(O389),ISNUMBER(Q389)),ROUND((O389+Q389)/2, 1),"")</f>
        <v>15</v>
      </c>
      <c r="T389" s="44"/>
    </row>
    <row r="390" spans="1:20" ht="26">
      <c r="A390" s="303"/>
      <c r="B390" s="34" t="s">
        <v>129</v>
      </c>
      <c r="C390" s="35" t="s">
        <v>491</v>
      </c>
      <c r="D390" s="36" t="s">
        <v>26</v>
      </c>
      <c r="E390" s="36" t="s">
        <v>492</v>
      </c>
      <c r="F390" s="231" t="s">
        <v>149</v>
      </c>
      <c r="G390" s="36" t="s">
        <v>493</v>
      </c>
      <c r="H390" s="35"/>
      <c r="I390" s="35" t="s">
        <v>132</v>
      </c>
      <c r="J390" s="35"/>
      <c r="K390" s="159">
        <v>1</v>
      </c>
      <c r="L390" s="159">
        <v>2</v>
      </c>
      <c r="M390" s="160">
        <v>40</v>
      </c>
      <c r="N390" s="191"/>
      <c r="O390" s="190">
        <f t="shared" si="58"/>
        <v>40</v>
      </c>
      <c r="P390" s="191"/>
      <c r="Q390" s="190">
        <f t="shared" si="59"/>
        <v>80</v>
      </c>
      <c r="R390" s="191"/>
      <c r="S390" s="190">
        <f>IF(AND(ISNUMBER(O390),ISNUMBER(Q390)),ROUND((O390+Q390)/2, 1),"")</f>
        <v>60</v>
      </c>
      <c r="T390" s="44"/>
    </row>
    <row r="391" spans="1:20" ht="26">
      <c r="A391" s="303"/>
      <c r="B391" s="34"/>
      <c r="C391" s="35" t="s">
        <v>491</v>
      </c>
      <c r="D391" s="36" t="s">
        <v>26</v>
      </c>
      <c r="E391" s="36" t="s">
        <v>494</v>
      </c>
      <c r="F391" s="231" t="s">
        <v>135</v>
      </c>
      <c r="G391" s="36" t="s">
        <v>495</v>
      </c>
      <c r="H391" s="35"/>
      <c r="I391" s="35" t="s">
        <v>132</v>
      </c>
      <c r="J391" s="35"/>
      <c r="K391" s="233">
        <v>0.5</v>
      </c>
      <c r="L391" s="233">
        <v>0.75</v>
      </c>
      <c r="M391" s="160">
        <v>35</v>
      </c>
      <c r="N391" s="191"/>
      <c r="O391" s="190">
        <f t="shared" si="58"/>
        <v>17.5</v>
      </c>
      <c r="P391" s="191"/>
      <c r="Q391" s="190">
        <f t="shared" si="59"/>
        <v>26.25</v>
      </c>
      <c r="R391" s="191"/>
      <c r="S391" s="190">
        <f t="shared" ref="S391" si="248">IF(AND(ISNUMBER(O391),ISNUMBER(Q391)),ROUND((O391+Q391)/2, 1),"")</f>
        <v>21.9</v>
      </c>
      <c r="T391" s="44"/>
    </row>
    <row r="392" spans="1:20" ht="26">
      <c r="A392" s="303"/>
      <c r="B392" s="34"/>
      <c r="C392" s="35" t="s">
        <v>491</v>
      </c>
      <c r="D392" s="36" t="s">
        <v>26</v>
      </c>
      <c r="E392" s="36" t="s">
        <v>494</v>
      </c>
      <c r="F392" s="231" t="s">
        <v>149</v>
      </c>
      <c r="G392" s="36" t="s">
        <v>495</v>
      </c>
      <c r="H392" s="35"/>
      <c r="I392" s="35" t="s">
        <v>132</v>
      </c>
      <c r="J392" s="35"/>
      <c r="K392" s="233">
        <v>0.5</v>
      </c>
      <c r="L392" s="233">
        <v>0.75</v>
      </c>
      <c r="M392" s="160">
        <v>115</v>
      </c>
      <c r="N392" s="191"/>
      <c r="O392" s="190">
        <f t="shared" ref="O392" si="249">IF(AND($I392="In",ISNUMBER($K392)),$M392*$K392,"")</f>
        <v>57.5</v>
      </c>
      <c r="P392" s="191"/>
      <c r="Q392" s="190">
        <f t="shared" ref="Q392" si="250">IF(AND($I392="In",ISNUMBER($L392)),$M392*$L392,"")</f>
        <v>86.25</v>
      </c>
      <c r="R392" s="191"/>
      <c r="S392" s="190">
        <f t="shared" ref="S392" si="251">IF(AND(ISNUMBER(O392),ISNUMBER(Q392)),ROUND((O392+Q392)/2, 1),"")</f>
        <v>71.900000000000006</v>
      </c>
      <c r="T392" s="44"/>
    </row>
    <row r="393" spans="1:20" ht="26">
      <c r="A393" s="303"/>
      <c r="B393" s="34"/>
      <c r="C393" s="35" t="s">
        <v>491</v>
      </c>
      <c r="D393" s="36" t="s">
        <v>26</v>
      </c>
      <c r="E393" s="36" t="s">
        <v>496</v>
      </c>
      <c r="F393" s="231" t="s">
        <v>149</v>
      </c>
      <c r="G393" s="36" t="s">
        <v>497</v>
      </c>
      <c r="H393" s="35"/>
      <c r="I393" s="35" t="s">
        <v>132</v>
      </c>
      <c r="J393" s="35"/>
      <c r="K393" s="233">
        <v>22</v>
      </c>
      <c r="L393" s="233">
        <v>35</v>
      </c>
      <c r="M393" s="160">
        <v>2</v>
      </c>
      <c r="N393" s="191"/>
      <c r="O393" s="190">
        <f t="shared" ref="O393" si="252">IF(AND($I393="In",ISNUMBER($K393)),$M393*$K393,"")</f>
        <v>44</v>
      </c>
      <c r="P393" s="191"/>
      <c r="Q393" s="190">
        <f t="shared" si="59"/>
        <v>70</v>
      </c>
      <c r="R393" s="191"/>
      <c r="S393" s="190">
        <f t="shared" ref="S393" si="253">IF(AND(ISNUMBER(O393),ISNUMBER(Q393)),ROUND((O393+Q393)/2, 1),"")</f>
        <v>57</v>
      </c>
      <c r="T393" s="44"/>
    </row>
    <row r="394" spans="1:20" ht="26">
      <c r="A394" s="303"/>
      <c r="B394" s="34"/>
      <c r="C394" s="35" t="s">
        <v>491</v>
      </c>
      <c r="D394" s="36" t="s">
        <v>26</v>
      </c>
      <c r="E394" s="36" t="s">
        <v>498</v>
      </c>
      <c r="F394" s="231" t="s">
        <v>149</v>
      </c>
      <c r="G394" s="36" t="s">
        <v>499</v>
      </c>
      <c r="H394" s="35"/>
      <c r="I394" s="35" t="s">
        <v>132</v>
      </c>
      <c r="J394" s="35"/>
      <c r="K394" s="233">
        <v>0.5</v>
      </c>
      <c r="L394" s="233">
        <v>0.75</v>
      </c>
      <c r="M394" s="160">
        <v>50</v>
      </c>
      <c r="N394" s="191"/>
      <c r="O394" s="190">
        <f t="shared" ref="O394:O395" si="254">IF(AND($I394="In",ISNUMBER($K394)),$M394*$K394,"")</f>
        <v>25</v>
      </c>
      <c r="P394" s="191"/>
      <c r="Q394" s="190">
        <f t="shared" ref="Q394:Q395" si="255">IF(AND($I394="In",ISNUMBER($L394)),$M394*$L394,"")</f>
        <v>37.5</v>
      </c>
      <c r="R394" s="191"/>
      <c r="S394" s="190">
        <f t="shared" ref="S394" si="256">IF(AND(ISNUMBER(O394),ISNUMBER(Q394)),ROUND((O394+Q394)/2, 1),"")</f>
        <v>31.3</v>
      </c>
      <c r="T394" s="44"/>
    </row>
    <row r="395" spans="1:20" ht="26">
      <c r="A395" s="303"/>
      <c r="B395" s="34"/>
      <c r="C395" s="35" t="s">
        <v>491</v>
      </c>
      <c r="D395" s="36" t="s">
        <v>26</v>
      </c>
      <c r="E395" s="36" t="s">
        <v>500</v>
      </c>
      <c r="F395" s="231" t="s">
        <v>149</v>
      </c>
      <c r="G395" s="36" t="s">
        <v>499</v>
      </c>
      <c r="H395" s="35"/>
      <c r="I395" s="35" t="s">
        <v>132</v>
      </c>
      <c r="J395" s="35"/>
      <c r="K395" s="233">
        <v>10</v>
      </c>
      <c r="L395" s="233">
        <v>15</v>
      </c>
      <c r="M395" s="160">
        <v>2</v>
      </c>
      <c r="N395" s="191"/>
      <c r="O395" s="190">
        <f t="shared" si="254"/>
        <v>20</v>
      </c>
      <c r="P395" s="191"/>
      <c r="Q395" s="190">
        <f t="shared" si="255"/>
        <v>30</v>
      </c>
      <c r="R395" s="191"/>
      <c r="S395" s="190">
        <f t="shared" ref="S395" si="257">IF(AND(ISNUMBER(O395),ISNUMBER(Q395)),ROUND((O395+Q395)/2, 1),"")</f>
        <v>25</v>
      </c>
      <c r="T395" s="44"/>
    </row>
    <row r="396" spans="1:20" ht="26">
      <c r="A396" s="303"/>
      <c r="B396" s="34" t="s">
        <v>129</v>
      </c>
      <c r="C396" s="35" t="s">
        <v>491</v>
      </c>
      <c r="D396" s="36" t="s">
        <v>26</v>
      </c>
      <c r="E396" s="36" t="s">
        <v>501</v>
      </c>
      <c r="F396" s="231" t="s">
        <v>149</v>
      </c>
      <c r="G396" s="36"/>
      <c r="H396" s="35"/>
      <c r="I396" s="35" t="s">
        <v>132</v>
      </c>
      <c r="J396" s="35"/>
      <c r="K396" s="159">
        <v>15</v>
      </c>
      <c r="L396" s="159">
        <v>20</v>
      </c>
      <c r="M396" s="160">
        <v>1</v>
      </c>
      <c r="N396" s="191"/>
      <c r="O396" s="190">
        <f t="shared" si="58"/>
        <v>15</v>
      </c>
      <c r="P396" s="191"/>
      <c r="Q396" s="190">
        <f t="shared" si="59"/>
        <v>20</v>
      </c>
      <c r="R396" s="191"/>
      <c r="S396" s="190">
        <f>IF(AND(ISNUMBER(O396),ISNUMBER(Q396)),ROUND((O396+Q396)/2, 1),"")</f>
        <v>17.5</v>
      </c>
      <c r="T396" s="44"/>
    </row>
    <row r="397" spans="1:20" ht="26">
      <c r="A397" s="23"/>
      <c r="B397" s="34" t="s">
        <v>129</v>
      </c>
      <c r="C397" s="35" t="s">
        <v>309</v>
      </c>
      <c r="D397" s="36" t="s">
        <v>24</v>
      </c>
      <c r="E397" s="36" t="s">
        <v>502</v>
      </c>
      <c r="F397" s="231" t="s">
        <v>149</v>
      </c>
      <c r="G397" s="36"/>
      <c r="H397" s="35"/>
      <c r="I397" s="35" t="s">
        <v>132</v>
      </c>
      <c r="J397" s="35"/>
      <c r="K397" s="233">
        <v>40</v>
      </c>
      <c r="L397" s="233">
        <v>60</v>
      </c>
      <c r="M397" s="160">
        <v>1</v>
      </c>
      <c r="N397" s="191"/>
      <c r="O397" s="190">
        <f t="shared" si="58"/>
        <v>40</v>
      </c>
      <c r="P397" s="191"/>
      <c r="Q397" s="190">
        <f t="shared" si="59"/>
        <v>60</v>
      </c>
      <c r="R397" s="191"/>
      <c r="S397" s="190">
        <f>IF(AND(ISNUMBER(O397),ISNUMBER(Q397)),ROUND((O397+Q397)/2, 1),"")</f>
        <v>50</v>
      </c>
      <c r="T397" s="44"/>
    </row>
    <row r="398" spans="1:20" ht="26">
      <c r="A398" s="303"/>
      <c r="B398" s="34" t="s">
        <v>129</v>
      </c>
      <c r="C398" s="35" t="s">
        <v>503</v>
      </c>
      <c r="D398" s="36" t="s">
        <v>29</v>
      </c>
      <c r="E398" s="36" t="s">
        <v>504</v>
      </c>
      <c r="F398" s="231" t="s">
        <v>149</v>
      </c>
      <c r="G398" s="36" t="s">
        <v>505</v>
      </c>
      <c r="H398" s="35"/>
      <c r="I398" s="35" t="s">
        <v>132</v>
      </c>
      <c r="J398" s="35"/>
      <c r="K398" s="159">
        <v>12</v>
      </c>
      <c r="L398" s="159">
        <v>15</v>
      </c>
      <c r="M398" s="160">
        <v>3</v>
      </c>
      <c r="N398" s="191"/>
      <c r="O398" s="190">
        <f t="shared" si="58"/>
        <v>36</v>
      </c>
      <c r="P398" s="191"/>
      <c r="Q398" s="190">
        <f t="shared" si="59"/>
        <v>45</v>
      </c>
      <c r="R398" s="191"/>
      <c r="S398" s="190">
        <f t="shared" ref="S398" si="258">IF(AND(ISNUMBER(O398),ISNUMBER(Q398)),ROUND((O398+Q398)/2, 1),"")</f>
        <v>40.5</v>
      </c>
      <c r="T398" s="327"/>
    </row>
    <row r="399" spans="1:20" ht="26">
      <c r="A399" s="303"/>
      <c r="B399" s="34" t="s">
        <v>129</v>
      </c>
      <c r="C399" s="35" t="s">
        <v>503</v>
      </c>
      <c r="D399" s="36" t="s">
        <v>29</v>
      </c>
      <c r="E399" s="36" t="s">
        <v>506</v>
      </c>
      <c r="F399" s="231" t="s">
        <v>149</v>
      </c>
      <c r="G399" s="36"/>
      <c r="H399" s="35"/>
      <c r="I399" s="35" t="s">
        <v>132</v>
      </c>
      <c r="J399" s="35"/>
      <c r="K399" s="159">
        <v>2</v>
      </c>
      <c r="L399" s="159">
        <v>3</v>
      </c>
      <c r="M399" s="160">
        <v>5</v>
      </c>
      <c r="N399" s="191"/>
      <c r="O399" s="190">
        <f t="shared" si="58"/>
        <v>10</v>
      </c>
      <c r="P399" s="191"/>
      <c r="Q399" s="190">
        <f t="shared" si="59"/>
        <v>15</v>
      </c>
      <c r="R399" s="191"/>
      <c r="S399" s="190">
        <f t="shared" ref="S399" si="259">IF(AND(ISNUMBER(O399),ISNUMBER(Q399)),ROUND((O399+Q399)/2, 1),"")</f>
        <v>12.5</v>
      </c>
      <c r="T399" s="327"/>
    </row>
    <row r="400" spans="1:20" ht="26">
      <c r="A400" s="303"/>
      <c r="B400" s="34" t="s">
        <v>129</v>
      </c>
      <c r="C400" s="35" t="s">
        <v>503</v>
      </c>
      <c r="D400" s="36" t="s">
        <v>27</v>
      </c>
      <c r="E400" s="36" t="s">
        <v>507</v>
      </c>
      <c r="F400" s="231" t="s">
        <v>149</v>
      </c>
      <c r="G400" s="36"/>
      <c r="H400" s="35"/>
      <c r="I400" s="35" t="s">
        <v>132</v>
      </c>
      <c r="J400" s="35"/>
      <c r="K400" s="261">
        <v>15</v>
      </c>
      <c r="L400" s="261">
        <v>20</v>
      </c>
      <c r="M400" s="160">
        <v>1</v>
      </c>
      <c r="N400" s="191"/>
      <c r="O400" s="190">
        <f t="shared" ref="O400:O405" si="260">IF(AND($I400="In",ISNUMBER($K400)),$M400*$K400,"")</f>
        <v>15</v>
      </c>
      <c r="P400" s="191"/>
      <c r="Q400" s="190">
        <f t="shared" ref="Q400:Q405" si="261">IF(AND($I400="In",ISNUMBER($L400)),$M400*$L400,"")</f>
        <v>20</v>
      </c>
      <c r="R400" s="191"/>
      <c r="S400" s="190">
        <f t="shared" ref="S400" si="262">IF(AND(ISNUMBER(O400),ISNUMBER(Q400)),ROUND((O400+Q400)/2, 1),"")</f>
        <v>17.5</v>
      </c>
      <c r="T400" s="327"/>
    </row>
    <row r="401" spans="1:20" ht="26">
      <c r="A401" s="303"/>
      <c r="B401" s="34" t="s">
        <v>129</v>
      </c>
      <c r="C401" s="35" t="s">
        <v>503</v>
      </c>
      <c r="D401" s="36" t="s">
        <v>24</v>
      </c>
      <c r="E401" s="36" t="s">
        <v>507</v>
      </c>
      <c r="F401" s="231" t="s">
        <v>149</v>
      </c>
      <c r="G401" s="36"/>
      <c r="H401" s="35"/>
      <c r="I401" s="35" t="s">
        <v>132</v>
      </c>
      <c r="J401" s="35"/>
      <c r="K401" s="261">
        <v>7</v>
      </c>
      <c r="L401" s="261">
        <v>12</v>
      </c>
      <c r="M401" s="160">
        <v>1</v>
      </c>
      <c r="N401" s="191"/>
      <c r="O401" s="190">
        <f t="shared" si="260"/>
        <v>7</v>
      </c>
      <c r="P401" s="191"/>
      <c r="Q401" s="190">
        <f t="shared" si="261"/>
        <v>12</v>
      </c>
      <c r="R401" s="191"/>
      <c r="S401" s="190">
        <f t="shared" ref="S401:S405" si="263">IF(AND(ISNUMBER(O401),ISNUMBER(Q401)),ROUND((O401+Q401)/2, 1),"")</f>
        <v>9.5</v>
      </c>
      <c r="T401" s="327"/>
    </row>
    <row r="402" spans="1:20" ht="26">
      <c r="A402" s="303"/>
      <c r="B402" s="34" t="s">
        <v>129</v>
      </c>
      <c r="C402" s="35" t="s">
        <v>503</v>
      </c>
      <c r="D402" s="36"/>
      <c r="E402" s="36" t="s">
        <v>508</v>
      </c>
      <c r="F402" s="231" t="s">
        <v>149</v>
      </c>
      <c r="G402" s="36" t="s">
        <v>505</v>
      </c>
      <c r="H402" s="35"/>
      <c r="I402" s="35" t="s">
        <v>137</v>
      </c>
      <c r="J402" s="35"/>
      <c r="K402" s="159">
        <v>12</v>
      </c>
      <c r="L402" s="159">
        <v>15</v>
      </c>
      <c r="M402" s="160">
        <v>1</v>
      </c>
      <c r="N402" s="191"/>
      <c r="O402" s="190" t="str">
        <f t="shared" si="58"/>
        <v/>
      </c>
      <c r="P402" s="191"/>
      <c r="Q402" s="190" t="str">
        <f t="shared" si="59"/>
        <v/>
      </c>
      <c r="R402" s="191"/>
      <c r="S402" s="190" t="str">
        <f t="shared" si="263"/>
        <v/>
      </c>
      <c r="T402" s="327"/>
    </row>
    <row r="403" spans="1:20" ht="26">
      <c r="A403" s="303"/>
      <c r="B403" s="34" t="s">
        <v>129</v>
      </c>
      <c r="C403" s="35" t="s">
        <v>503</v>
      </c>
      <c r="D403" s="36"/>
      <c r="E403" s="36" t="s">
        <v>509</v>
      </c>
      <c r="F403" s="231" t="s">
        <v>149</v>
      </c>
      <c r="G403" s="36"/>
      <c r="H403" s="35"/>
      <c r="I403" s="35" t="s">
        <v>137</v>
      </c>
      <c r="J403" s="35"/>
      <c r="K403" s="159">
        <v>10</v>
      </c>
      <c r="L403" s="159">
        <v>15</v>
      </c>
      <c r="M403" s="160">
        <v>1</v>
      </c>
      <c r="N403" s="191"/>
      <c r="O403" s="190" t="str">
        <f t="shared" si="58"/>
        <v/>
      </c>
      <c r="P403" s="191"/>
      <c r="Q403" s="190" t="str">
        <f t="shared" si="59"/>
        <v/>
      </c>
      <c r="R403" s="191"/>
      <c r="S403" s="190" t="str">
        <f t="shared" si="263"/>
        <v/>
      </c>
      <c r="T403" s="327"/>
    </row>
    <row r="404" spans="1:20" ht="26">
      <c r="A404" s="303"/>
      <c r="B404" s="34" t="s">
        <v>129</v>
      </c>
      <c r="C404" s="35" t="s">
        <v>503</v>
      </c>
      <c r="D404" s="36" t="s">
        <v>34</v>
      </c>
      <c r="E404" s="36" t="s">
        <v>510</v>
      </c>
      <c r="F404" s="231" t="s">
        <v>149</v>
      </c>
      <c r="G404" s="36"/>
      <c r="H404" s="35"/>
      <c r="I404" s="35" t="s">
        <v>132</v>
      </c>
      <c r="J404" s="35"/>
      <c r="K404" s="159">
        <v>10</v>
      </c>
      <c r="L404" s="159">
        <v>15</v>
      </c>
      <c r="M404" s="160">
        <v>1</v>
      </c>
      <c r="N404" s="191"/>
      <c r="O404" s="190">
        <f t="shared" si="260"/>
        <v>10</v>
      </c>
      <c r="P404" s="191"/>
      <c r="Q404" s="190">
        <f t="shared" si="261"/>
        <v>15</v>
      </c>
      <c r="R404" s="191"/>
      <c r="S404" s="190">
        <f t="shared" si="263"/>
        <v>12.5</v>
      </c>
      <c r="T404" s="327"/>
    </row>
    <row r="405" spans="1:20" ht="26">
      <c r="A405" s="303"/>
      <c r="B405" s="34" t="s">
        <v>129</v>
      </c>
      <c r="C405" s="35" t="s">
        <v>503</v>
      </c>
      <c r="D405" s="36" t="s">
        <v>34</v>
      </c>
      <c r="E405" s="36" t="s">
        <v>511</v>
      </c>
      <c r="F405" s="231" t="s">
        <v>149</v>
      </c>
      <c r="G405" s="36"/>
      <c r="H405" s="35"/>
      <c r="I405" s="35" t="s">
        <v>132</v>
      </c>
      <c r="J405" s="35"/>
      <c r="K405" s="261">
        <v>5</v>
      </c>
      <c r="L405" s="261">
        <v>8</v>
      </c>
      <c r="M405" s="160">
        <v>1</v>
      </c>
      <c r="N405" s="191"/>
      <c r="O405" s="190">
        <f t="shared" si="260"/>
        <v>5</v>
      </c>
      <c r="P405" s="191"/>
      <c r="Q405" s="190">
        <f t="shared" si="261"/>
        <v>8</v>
      </c>
      <c r="R405" s="191"/>
      <c r="S405" s="190">
        <f t="shared" si="263"/>
        <v>6.5</v>
      </c>
      <c r="T405" s="327"/>
    </row>
    <row r="406" spans="1:20" ht="26">
      <c r="A406" s="23"/>
      <c r="B406" s="34" t="s">
        <v>129</v>
      </c>
      <c r="C406" s="35" t="s">
        <v>512</v>
      </c>
      <c r="D406" s="36" t="s">
        <v>30</v>
      </c>
      <c r="E406" s="231" t="s">
        <v>30</v>
      </c>
      <c r="F406" s="231" t="s">
        <v>149</v>
      </c>
      <c r="G406" s="36"/>
      <c r="H406" s="35"/>
      <c r="I406" s="35" t="s">
        <v>132</v>
      </c>
      <c r="J406" s="35"/>
      <c r="K406" s="159"/>
      <c r="L406" s="159"/>
      <c r="M406" s="160">
        <v>1</v>
      </c>
      <c r="N406" s="191"/>
      <c r="O406" s="190" t="str">
        <f t="shared" si="58"/>
        <v/>
      </c>
      <c r="P406" s="191"/>
      <c r="Q406" s="190" t="str">
        <f t="shared" si="59"/>
        <v/>
      </c>
      <c r="R406" s="191"/>
      <c r="S406" s="190" t="str">
        <f t="shared" ref="S406:S457" si="264">IF(AND(ISNUMBER(O406),ISNUMBER(Q406)),ROUND((O406+Q406)/2, 1),"")</f>
        <v/>
      </c>
      <c r="T406" s="44"/>
    </row>
    <row r="407" spans="1:20" ht="26">
      <c r="A407" s="23"/>
      <c r="B407" s="34" t="s">
        <v>129</v>
      </c>
      <c r="C407" s="35" t="s">
        <v>512</v>
      </c>
      <c r="D407" s="36" t="s">
        <v>30</v>
      </c>
      <c r="E407" s="211" t="s">
        <v>513</v>
      </c>
      <c r="F407" s="231" t="s">
        <v>135</v>
      </c>
      <c r="G407" s="36"/>
      <c r="H407" s="35"/>
      <c r="I407" s="35" t="s">
        <v>132</v>
      </c>
      <c r="J407" s="35"/>
      <c r="K407" s="159"/>
      <c r="L407" s="159"/>
      <c r="M407" s="160">
        <v>1</v>
      </c>
      <c r="N407" s="191"/>
      <c r="O407" s="190"/>
      <c r="P407" s="191"/>
      <c r="Q407" s="190" t="str">
        <f t="shared" si="59"/>
        <v/>
      </c>
      <c r="R407" s="191"/>
      <c r="S407" s="190" t="str">
        <f t="shared" si="264"/>
        <v/>
      </c>
      <c r="T407" s="44"/>
    </row>
    <row r="408" spans="1:20">
      <c r="A408" s="23"/>
      <c r="B408" s="34"/>
      <c r="C408" s="35" t="s">
        <v>512</v>
      </c>
      <c r="D408" s="36" t="s">
        <v>30</v>
      </c>
      <c r="E408" s="245" t="s">
        <v>514</v>
      </c>
      <c r="F408" s="231" t="s">
        <v>135</v>
      </c>
      <c r="G408" s="36"/>
      <c r="H408" s="35"/>
      <c r="I408" s="35" t="s">
        <v>132</v>
      </c>
      <c r="J408" s="35"/>
      <c r="K408" s="159">
        <v>2</v>
      </c>
      <c r="L408" s="159">
        <v>3</v>
      </c>
      <c r="M408" s="160">
        <v>1</v>
      </c>
      <c r="N408" s="191"/>
      <c r="O408" s="190">
        <f t="shared" si="58"/>
        <v>2</v>
      </c>
      <c r="P408" s="191"/>
      <c r="Q408" s="190">
        <f t="shared" si="59"/>
        <v>3</v>
      </c>
      <c r="R408" s="191"/>
      <c r="S408" s="190">
        <f t="shared" si="264"/>
        <v>2.5</v>
      </c>
      <c r="T408" s="44"/>
    </row>
    <row r="409" spans="1:20" ht="26">
      <c r="A409" s="23"/>
      <c r="B409" s="34"/>
      <c r="C409" s="35" t="s">
        <v>512</v>
      </c>
      <c r="D409" s="36" t="s">
        <v>30</v>
      </c>
      <c r="E409" s="245" t="s">
        <v>515</v>
      </c>
      <c r="F409" s="231" t="s">
        <v>135</v>
      </c>
      <c r="G409" s="36"/>
      <c r="H409" s="35"/>
      <c r="I409" s="35" t="s">
        <v>132</v>
      </c>
      <c r="J409" s="35"/>
      <c r="K409" s="159">
        <v>4</v>
      </c>
      <c r="L409" s="159">
        <v>6</v>
      </c>
      <c r="M409" s="160">
        <v>1</v>
      </c>
      <c r="N409" s="191"/>
      <c r="O409" s="190">
        <f t="shared" si="58"/>
        <v>4</v>
      </c>
      <c r="P409" s="191"/>
      <c r="Q409" s="190">
        <f t="shared" si="59"/>
        <v>6</v>
      </c>
      <c r="R409" s="191"/>
      <c r="S409" s="190">
        <f t="shared" si="264"/>
        <v>5</v>
      </c>
      <c r="T409" s="44"/>
    </row>
    <row r="410" spans="1:20" ht="26">
      <c r="A410" s="23"/>
      <c r="B410" s="34"/>
      <c r="C410" s="35" t="s">
        <v>512</v>
      </c>
      <c r="D410" s="36" t="s">
        <v>30</v>
      </c>
      <c r="E410" s="245" t="s">
        <v>516</v>
      </c>
      <c r="F410" s="231" t="s">
        <v>135</v>
      </c>
      <c r="G410" s="36"/>
      <c r="H410" s="35"/>
      <c r="I410" s="35" t="s">
        <v>132</v>
      </c>
      <c r="J410" s="35"/>
      <c r="K410" s="159">
        <v>6</v>
      </c>
      <c r="L410" s="159">
        <v>9</v>
      </c>
      <c r="M410" s="160">
        <v>1</v>
      </c>
      <c r="N410" s="191"/>
      <c r="O410" s="190">
        <f t="shared" si="58"/>
        <v>6</v>
      </c>
      <c r="P410" s="191"/>
      <c r="Q410" s="190">
        <f t="shared" si="59"/>
        <v>9</v>
      </c>
      <c r="R410" s="191"/>
      <c r="S410" s="190">
        <f t="shared" si="264"/>
        <v>7.5</v>
      </c>
      <c r="T410" s="44"/>
    </row>
    <row r="411" spans="1:20" ht="32.25" customHeight="1">
      <c r="A411" s="23"/>
      <c r="B411" s="34"/>
      <c r="C411" s="35" t="s">
        <v>512</v>
      </c>
      <c r="D411" s="36" t="s">
        <v>30</v>
      </c>
      <c r="E411" s="245" t="s">
        <v>517</v>
      </c>
      <c r="F411" s="231" t="s">
        <v>135</v>
      </c>
      <c r="G411" s="36"/>
      <c r="H411" s="35"/>
      <c r="I411" s="35" t="s">
        <v>132</v>
      </c>
      <c r="J411" s="35"/>
      <c r="K411" s="159">
        <v>2</v>
      </c>
      <c r="L411" s="159">
        <v>3</v>
      </c>
      <c r="M411" s="160">
        <v>1</v>
      </c>
      <c r="N411" s="191"/>
      <c r="O411" s="190">
        <f t="shared" si="58"/>
        <v>2</v>
      </c>
      <c r="P411" s="191"/>
      <c r="Q411" s="190">
        <f t="shared" si="59"/>
        <v>3</v>
      </c>
      <c r="R411" s="191"/>
      <c r="S411" s="190">
        <f t="shared" si="264"/>
        <v>2.5</v>
      </c>
      <c r="T411" s="44"/>
    </row>
    <row r="412" spans="1:20" ht="26">
      <c r="A412" s="23"/>
      <c r="B412" s="34" t="s">
        <v>129</v>
      </c>
      <c r="C412" s="35" t="s">
        <v>512</v>
      </c>
      <c r="D412" s="36" t="s">
        <v>30</v>
      </c>
      <c r="E412" s="211" t="s">
        <v>518</v>
      </c>
      <c r="F412" s="231" t="s">
        <v>149</v>
      </c>
      <c r="G412" s="36"/>
      <c r="H412" s="35"/>
      <c r="I412" s="35" t="s">
        <v>137</v>
      </c>
      <c r="J412" s="35"/>
      <c r="K412" s="159">
        <v>7</v>
      </c>
      <c r="L412" s="159">
        <v>10</v>
      </c>
      <c r="M412" s="160">
        <v>1</v>
      </c>
      <c r="N412" s="191">
        <v>7</v>
      </c>
      <c r="O412" s="190" t="str">
        <f t="shared" si="58"/>
        <v/>
      </c>
      <c r="P412" s="191">
        <v>10</v>
      </c>
      <c r="Q412" s="190" t="str">
        <f t="shared" si="59"/>
        <v/>
      </c>
      <c r="R412" s="191"/>
      <c r="S412" s="190" t="str">
        <f t="shared" ref="S412" si="265">IF(AND(ISNUMBER(O412),ISNUMBER(Q412)),ROUND((O412+Q412)/2, 1),"")</f>
        <v/>
      </c>
      <c r="T412" s="44"/>
    </row>
    <row r="413" spans="1:20" ht="26">
      <c r="A413" s="23"/>
      <c r="B413" s="34"/>
      <c r="C413" s="35" t="s">
        <v>512</v>
      </c>
      <c r="D413" s="36" t="s">
        <v>30</v>
      </c>
      <c r="E413" s="211" t="s">
        <v>519</v>
      </c>
      <c r="F413" s="231" t="s">
        <v>149</v>
      </c>
      <c r="G413" s="36" t="s">
        <v>520</v>
      </c>
      <c r="H413" s="35"/>
      <c r="I413" s="35" t="s">
        <v>132</v>
      </c>
      <c r="J413" s="35"/>
      <c r="K413" s="159">
        <v>3</v>
      </c>
      <c r="L413" s="159">
        <v>4</v>
      </c>
      <c r="M413" s="160">
        <v>1</v>
      </c>
      <c r="N413" s="191"/>
      <c r="O413" s="190">
        <f t="shared" si="58"/>
        <v>3</v>
      </c>
      <c r="P413" s="191"/>
      <c r="Q413" s="190">
        <f t="shared" si="59"/>
        <v>4</v>
      </c>
      <c r="R413" s="191"/>
      <c r="S413" s="190">
        <f t="shared" si="264"/>
        <v>3.5</v>
      </c>
      <c r="T413" s="44"/>
    </row>
    <row r="414" spans="1:20" ht="26">
      <c r="A414" s="23"/>
      <c r="B414" s="34" t="s">
        <v>129</v>
      </c>
      <c r="C414" s="35" t="s">
        <v>512</v>
      </c>
      <c r="D414" s="36" t="s">
        <v>30</v>
      </c>
      <c r="E414" s="211" t="s">
        <v>521</v>
      </c>
      <c r="F414" s="231" t="s">
        <v>149</v>
      </c>
      <c r="G414" s="36"/>
      <c r="H414" s="35"/>
      <c r="I414" s="35" t="s">
        <v>132</v>
      </c>
      <c r="J414" s="35"/>
      <c r="K414" s="159">
        <v>3</v>
      </c>
      <c r="L414" s="159">
        <v>4</v>
      </c>
      <c r="M414" s="160">
        <v>1</v>
      </c>
      <c r="N414" s="191"/>
      <c r="O414" s="190">
        <f t="shared" si="58"/>
        <v>3</v>
      </c>
      <c r="P414" s="191"/>
      <c r="Q414" s="190">
        <f t="shared" si="59"/>
        <v>4</v>
      </c>
      <c r="R414" s="191"/>
      <c r="S414" s="190">
        <f t="shared" si="264"/>
        <v>3.5</v>
      </c>
      <c r="T414" s="44"/>
    </row>
    <row r="415" spans="1:20" ht="26">
      <c r="A415" s="23"/>
      <c r="B415" s="34" t="s">
        <v>129</v>
      </c>
      <c r="C415" s="35" t="s">
        <v>512</v>
      </c>
      <c r="D415" s="36" t="s">
        <v>30</v>
      </c>
      <c r="E415" s="211" t="s">
        <v>522</v>
      </c>
      <c r="F415" s="231" t="s">
        <v>149</v>
      </c>
      <c r="G415" s="36" t="s">
        <v>523</v>
      </c>
      <c r="H415" s="35"/>
      <c r="I415" s="35" t="s">
        <v>132</v>
      </c>
      <c r="J415" s="35"/>
      <c r="K415" s="159">
        <v>8</v>
      </c>
      <c r="L415" s="159">
        <v>12</v>
      </c>
      <c r="M415" s="160">
        <v>1</v>
      </c>
      <c r="N415" s="191"/>
      <c r="O415" s="190">
        <f t="shared" si="58"/>
        <v>8</v>
      </c>
      <c r="P415" s="191"/>
      <c r="Q415" s="190">
        <f t="shared" si="59"/>
        <v>12</v>
      </c>
      <c r="R415" s="191"/>
      <c r="S415" s="190">
        <f t="shared" si="264"/>
        <v>10</v>
      </c>
      <c r="T415" s="44"/>
    </row>
    <row r="416" spans="1:20" ht="26">
      <c r="A416" s="23"/>
      <c r="B416" s="34" t="s">
        <v>129</v>
      </c>
      <c r="C416" s="35" t="s">
        <v>512</v>
      </c>
      <c r="D416" s="36" t="s">
        <v>30</v>
      </c>
      <c r="E416" s="211" t="s">
        <v>524</v>
      </c>
      <c r="F416" s="231" t="s">
        <v>149</v>
      </c>
      <c r="G416" s="36"/>
      <c r="H416" s="35"/>
      <c r="I416" s="35" t="s">
        <v>132</v>
      </c>
      <c r="J416" s="35"/>
      <c r="K416" s="159">
        <v>2</v>
      </c>
      <c r="L416" s="159">
        <v>3</v>
      </c>
      <c r="M416" s="160">
        <v>1</v>
      </c>
      <c r="N416" s="191">
        <v>2.625</v>
      </c>
      <c r="O416" s="190">
        <f t="shared" si="58"/>
        <v>2</v>
      </c>
      <c r="P416" s="191">
        <v>4.375</v>
      </c>
      <c r="Q416" s="190">
        <f t="shared" si="59"/>
        <v>3</v>
      </c>
      <c r="R416" s="191"/>
      <c r="S416" s="190">
        <f t="shared" si="264"/>
        <v>2.5</v>
      </c>
      <c r="T416" s="44"/>
    </row>
    <row r="417" spans="1:20" ht="26">
      <c r="A417" s="23"/>
      <c r="B417" s="34" t="s">
        <v>129</v>
      </c>
      <c r="C417" s="35" t="s">
        <v>512</v>
      </c>
      <c r="D417" s="36" t="s">
        <v>30</v>
      </c>
      <c r="E417" s="211" t="s">
        <v>525</v>
      </c>
      <c r="F417" s="231" t="s">
        <v>149</v>
      </c>
      <c r="G417" s="36"/>
      <c r="H417" s="35"/>
      <c r="I417" s="35" t="s">
        <v>132</v>
      </c>
      <c r="J417" s="35"/>
      <c r="K417" s="159">
        <v>2</v>
      </c>
      <c r="L417" s="159">
        <v>3</v>
      </c>
      <c r="M417" s="160">
        <v>1</v>
      </c>
      <c r="N417" s="191">
        <v>2.625</v>
      </c>
      <c r="O417" s="190">
        <f t="shared" ref="O417:O418" si="266">IF(AND($I417="In",ISNUMBER($K417)),$M417*$K417,"")</f>
        <v>2</v>
      </c>
      <c r="P417" s="191">
        <v>4.375</v>
      </c>
      <c r="Q417" s="190">
        <f t="shared" ref="Q417:Q418" si="267">IF(AND($I417="In",ISNUMBER($L417)),$M417*$L417,"")</f>
        <v>3</v>
      </c>
      <c r="R417" s="191"/>
      <c r="S417" s="190">
        <f t="shared" ref="S417" si="268">IF(AND(ISNUMBER(O417),ISNUMBER(Q417)),ROUND((O417+Q417)/2, 1),"")</f>
        <v>2.5</v>
      </c>
      <c r="T417" s="44"/>
    </row>
    <row r="418" spans="1:20" ht="26">
      <c r="A418" s="23"/>
      <c r="B418" s="34" t="s">
        <v>129</v>
      </c>
      <c r="C418" s="35" t="s">
        <v>512</v>
      </c>
      <c r="D418" s="36" t="s">
        <v>30</v>
      </c>
      <c r="E418" s="211" t="s">
        <v>526</v>
      </c>
      <c r="F418" s="231" t="s">
        <v>149</v>
      </c>
      <c r="G418" s="36"/>
      <c r="H418" s="35"/>
      <c r="I418" s="35" t="s">
        <v>132</v>
      </c>
      <c r="J418" s="35"/>
      <c r="K418" s="159">
        <v>3</v>
      </c>
      <c r="L418" s="159">
        <v>5</v>
      </c>
      <c r="M418" s="160">
        <v>1</v>
      </c>
      <c r="N418" s="191">
        <v>2.625</v>
      </c>
      <c r="O418" s="190">
        <f t="shared" si="266"/>
        <v>3</v>
      </c>
      <c r="P418" s="191">
        <v>4.375</v>
      </c>
      <c r="Q418" s="190">
        <f t="shared" si="267"/>
        <v>5</v>
      </c>
      <c r="R418" s="191"/>
      <c r="S418" s="190">
        <f t="shared" ref="S418" si="269">IF(AND(ISNUMBER(O418),ISNUMBER(Q418)),ROUND((O418+Q418)/2, 1),"")</f>
        <v>4</v>
      </c>
      <c r="T418" s="44"/>
    </row>
    <row r="419" spans="1:20" ht="26">
      <c r="A419" s="23"/>
      <c r="B419" s="34" t="s">
        <v>129</v>
      </c>
      <c r="C419" s="35" t="s">
        <v>512</v>
      </c>
      <c r="D419" s="36" t="s">
        <v>30</v>
      </c>
      <c r="E419" s="211" t="s">
        <v>527</v>
      </c>
      <c r="F419" s="231" t="s">
        <v>149</v>
      </c>
      <c r="G419" s="36"/>
      <c r="H419" s="35"/>
      <c r="I419" s="35" t="s">
        <v>132</v>
      </c>
      <c r="J419" s="35"/>
      <c r="K419" s="159"/>
      <c r="L419" s="159"/>
      <c r="M419" s="160">
        <v>1</v>
      </c>
      <c r="N419" s="191"/>
      <c r="O419" s="190" t="str">
        <f t="shared" si="58"/>
        <v/>
      </c>
      <c r="P419" s="191"/>
      <c r="Q419" s="190" t="str">
        <f t="shared" si="59"/>
        <v/>
      </c>
      <c r="R419" s="191"/>
      <c r="S419" s="190" t="str">
        <f t="shared" si="264"/>
        <v/>
      </c>
      <c r="T419" s="44"/>
    </row>
    <row r="420" spans="1:20" ht="26">
      <c r="A420" s="23"/>
      <c r="B420" s="34"/>
      <c r="C420" s="35" t="s">
        <v>512</v>
      </c>
      <c r="D420" s="36" t="s">
        <v>30</v>
      </c>
      <c r="E420" s="245" t="s">
        <v>528</v>
      </c>
      <c r="F420" s="231" t="s">
        <v>149</v>
      </c>
      <c r="G420" s="36"/>
      <c r="H420" s="35"/>
      <c r="I420" s="35" t="s">
        <v>132</v>
      </c>
      <c r="J420" s="35"/>
      <c r="K420" s="159">
        <v>5</v>
      </c>
      <c r="L420" s="159">
        <v>8</v>
      </c>
      <c r="M420" s="160">
        <v>1</v>
      </c>
      <c r="N420" s="191"/>
      <c r="O420" s="190">
        <f t="shared" si="58"/>
        <v>5</v>
      </c>
      <c r="P420" s="191"/>
      <c r="Q420" s="190">
        <f t="shared" si="59"/>
        <v>8</v>
      </c>
      <c r="R420" s="191"/>
      <c r="S420" s="190">
        <f t="shared" si="264"/>
        <v>6.5</v>
      </c>
      <c r="T420" s="44"/>
    </row>
    <row r="421" spans="1:20" ht="26">
      <c r="A421" s="23"/>
      <c r="B421" s="34" t="s">
        <v>129</v>
      </c>
      <c r="C421" s="35" t="s">
        <v>512</v>
      </c>
      <c r="D421" s="36" t="s">
        <v>30</v>
      </c>
      <c r="E421" s="211" t="s">
        <v>529</v>
      </c>
      <c r="F421" s="231" t="s">
        <v>149</v>
      </c>
      <c r="G421" s="36"/>
      <c r="H421" s="35"/>
      <c r="I421" s="35" t="s">
        <v>132</v>
      </c>
      <c r="J421" s="35"/>
      <c r="K421" s="159"/>
      <c r="L421" s="159"/>
      <c r="M421" s="160">
        <v>1</v>
      </c>
      <c r="N421" s="191"/>
      <c r="O421" s="190" t="str">
        <f t="shared" si="58"/>
        <v/>
      </c>
      <c r="P421" s="191"/>
      <c r="Q421" s="190" t="str">
        <f t="shared" si="59"/>
        <v/>
      </c>
      <c r="R421" s="191"/>
      <c r="S421" s="190" t="str">
        <f t="shared" ref="S421:S427" si="270">IF(AND(ISNUMBER(O421),ISNUMBER(Q421)),ROUND((O421+Q421)/2, 1),"")</f>
        <v/>
      </c>
      <c r="T421" s="44"/>
    </row>
    <row r="422" spans="1:20" ht="26">
      <c r="A422" s="23"/>
      <c r="B422" s="34"/>
      <c r="C422" s="35" t="s">
        <v>512</v>
      </c>
      <c r="D422" s="36" t="s">
        <v>30</v>
      </c>
      <c r="E422" s="245" t="s">
        <v>530</v>
      </c>
      <c r="F422" s="231" t="s">
        <v>149</v>
      </c>
      <c r="G422" s="36"/>
      <c r="H422" s="35" t="s">
        <v>531</v>
      </c>
      <c r="I422" s="35" t="s">
        <v>132</v>
      </c>
      <c r="J422" s="35"/>
      <c r="K422" s="159">
        <v>4</v>
      </c>
      <c r="L422" s="159">
        <v>6</v>
      </c>
      <c r="M422" s="160">
        <v>1</v>
      </c>
      <c r="N422" s="191"/>
      <c r="O422" s="190">
        <f t="shared" si="58"/>
        <v>4</v>
      </c>
      <c r="P422" s="191"/>
      <c r="Q422" s="190">
        <f t="shared" si="59"/>
        <v>6</v>
      </c>
      <c r="R422" s="191"/>
      <c r="S422" s="190">
        <f t="shared" si="270"/>
        <v>5</v>
      </c>
      <c r="T422" s="44"/>
    </row>
    <row r="423" spans="1:20" ht="26">
      <c r="A423" s="23"/>
      <c r="B423" s="34"/>
      <c r="C423" s="35" t="s">
        <v>512</v>
      </c>
      <c r="D423" s="36" t="s">
        <v>30</v>
      </c>
      <c r="E423" s="245" t="s">
        <v>532</v>
      </c>
      <c r="F423" s="231" t="s">
        <v>149</v>
      </c>
      <c r="G423" s="36"/>
      <c r="H423" s="35"/>
      <c r="I423" s="35" t="s">
        <v>132</v>
      </c>
      <c r="J423" s="35"/>
      <c r="K423" s="159">
        <v>3</v>
      </c>
      <c r="L423" s="159">
        <v>5</v>
      </c>
      <c r="M423" s="160">
        <v>1</v>
      </c>
      <c r="N423" s="191"/>
      <c r="O423" s="190">
        <f t="shared" si="58"/>
        <v>3</v>
      </c>
      <c r="P423" s="191"/>
      <c r="Q423" s="190">
        <f t="shared" si="59"/>
        <v>5</v>
      </c>
      <c r="R423" s="191"/>
      <c r="S423" s="190">
        <f t="shared" si="270"/>
        <v>4</v>
      </c>
      <c r="T423" s="44"/>
    </row>
    <row r="424" spans="1:20" ht="26">
      <c r="A424" s="23"/>
      <c r="B424" s="34"/>
      <c r="C424" s="35" t="s">
        <v>512</v>
      </c>
      <c r="D424" s="36" t="s">
        <v>30</v>
      </c>
      <c r="E424" s="245" t="s">
        <v>533</v>
      </c>
      <c r="F424" s="231" t="s">
        <v>149</v>
      </c>
      <c r="G424" s="36"/>
      <c r="H424" s="35"/>
      <c r="I424" s="35" t="s">
        <v>132</v>
      </c>
      <c r="J424" s="35"/>
      <c r="K424" s="159">
        <v>3</v>
      </c>
      <c r="L424" s="159">
        <v>5</v>
      </c>
      <c r="M424" s="160">
        <v>1</v>
      </c>
      <c r="N424" s="191"/>
      <c r="O424" s="190">
        <f t="shared" si="58"/>
        <v>3</v>
      </c>
      <c r="P424" s="191"/>
      <c r="Q424" s="190">
        <f t="shared" si="59"/>
        <v>5</v>
      </c>
      <c r="R424" s="191"/>
      <c r="S424" s="190">
        <f t="shared" si="270"/>
        <v>4</v>
      </c>
      <c r="T424" s="44"/>
    </row>
    <row r="425" spans="1:20" ht="26">
      <c r="A425" s="23"/>
      <c r="B425" s="34"/>
      <c r="C425" s="35" t="s">
        <v>512</v>
      </c>
      <c r="D425" s="36" t="s">
        <v>30</v>
      </c>
      <c r="E425" s="245" t="s">
        <v>534</v>
      </c>
      <c r="F425" s="231" t="s">
        <v>149</v>
      </c>
      <c r="G425" s="36"/>
      <c r="H425" s="35"/>
      <c r="I425" s="35" t="s">
        <v>137</v>
      </c>
      <c r="J425" s="35"/>
      <c r="K425" s="159">
        <v>6</v>
      </c>
      <c r="L425" s="159">
        <v>8</v>
      </c>
      <c r="M425" s="160">
        <v>1</v>
      </c>
      <c r="N425" s="191"/>
      <c r="O425" s="190" t="str">
        <f t="shared" si="58"/>
        <v/>
      </c>
      <c r="P425" s="191"/>
      <c r="Q425" s="190" t="str">
        <f t="shared" si="59"/>
        <v/>
      </c>
      <c r="R425" s="191"/>
      <c r="S425" s="190" t="str">
        <f t="shared" si="270"/>
        <v/>
      </c>
      <c r="T425" s="44"/>
    </row>
    <row r="426" spans="1:20" ht="26">
      <c r="A426" s="23"/>
      <c r="B426" s="34"/>
      <c r="C426" s="35" t="s">
        <v>512</v>
      </c>
      <c r="D426" s="36" t="s">
        <v>30</v>
      </c>
      <c r="E426" s="211" t="s">
        <v>535</v>
      </c>
      <c r="F426" s="231" t="s">
        <v>149</v>
      </c>
      <c r="G426" s="36" t="s">
        <v>536</v>
      </c>
      <c r="H426" s="35"/>
      <c r="I426" s="35" t="s">
        <v>132</v>
      </c>
      <c r="J426" s="35"/>
      <c r="K426" s="159">
        <v>2</v>
      </c>
      <c r="L426" s="159">
        <v>3</v>
      </c>
      <c r="M426" s="160">
        <v>1</v>
      </c>
      <c r="N426" s="191"/>
      <c r="O426" s="190">
        <f t="shared" si="58"/>
        <v>2</v>
      </c>
      <c r="P426" s="191"/>
      <c r="Q426" s="190">
        <f t="shared" si="59"/>
        <v>3</v>
      </c>
      <c r="R426" s="191"/>
      <c r="S426" s="190">
        <f t="shared" si="270"/>
        <v>2.5</v>
      </c>
      <c r="T426" s="44"/>
    </row>
    <row r="427" spans="1:20" ht="26">
      <c r="A427" s="23"/>
      <c r="B427" s="34"/>
      <c r="C427" s="35" t="s">
        <v>512</v>
      </c>
      <c r="D427" s="36" t="s">
        <v>30</v>
      </c>
      <c r="E427" s="211" t="s">
        <v>537</v>
      </c>
      <c r="F427" s="231" t="s">
        <v>149</v>
      </c>
      <c r="G427" s="36"/>
      <c r="H427" s="35"/>
      <c r="I427" s="35" t="s">
        <v>132</v>
      </c>
      <c r="J427" s="35"/>
      <c r="K427" s="159"/>
      <c r="L427" s="159"/>
      <c r="M427" s="160">
        <v>1</v>
      </c>
      <c r="N427" s="191"/>
      <c r="O427" s="190" t="str">
        <f t="shared" si="58"/>
        <v/>
      </c>
      <c r="P427" s="191"/>
      <c r="Q427" s="190" t="str">
        <f t="shared" si="59"/>
        <v/>
      </c>
      <c r="R427" s="191"/>
      <c r="S427" s="190" t="str">
        <f t="shared" si="270"/>
        <v/>
      </c>
      <c r="T427" s="44"/>
    </row>
    <row r="428" spans="1:20" ht="39">
      <c r="A428" s="23"/>
      <c r="B428" s="34"/>
      <c r="C428" s="35" t="s">
        <v>512</v>
      </c>
      <c r="D428" s="36" t="s">
        <v>30</v>
      </c>
      <c r="E428" s="245" t="s">
        <v>538</v>
      </c>
      <c r="F428" s="231" t="s">
        <v>149</v>
      </c>
      <c r="G428" s="36"/>
      <c r="H428" s="35"/>
      <c r="I428" s="35" t="s">
        <v>132</v>
      </c>
      <c r="J428" s="35"/>
      <c r="K428" s="159">
        <v>4</v>
      </c>
      <c r="L428" s="159">
        <v>7</v>
      </c>
      <c r="M428" s="160">
        <v>1</v>
      </c>
      <c r="N428" s="191"/>
      <c r="O428" s="190">
        <f t="shared" si="58"/>
        <v>4</v>
      </c>
      <c r="P428" s="191"/>
      <c r="Q428" s="190">
        <f t="shared" si="59"/>
        <v>7</v>
      </c>
      <c r="R428" s="191"/>
      <c r="S428" s="190">
        <f t="shared" si="264"/>
        <v>5.5</v>
      </c>
      <c r="T428" s="44"/>
    </row>
    <row r="429" spans="1:20" ht="26">
      <c r="A429" s="23"/>
      <c r="B429" s="34"/>
      <c r="C429" s="35" t="s">
        <v>512</v>
      </c>
      <c r="D429" s="36" t="s">
        <v>30</v>
      </c>
      <c r="E429" s="211" t="s">
        <v>539</v>
      </c>
      <c r="F429" s="231" t="s">
        <v>149</v>
      </c>
      <c r="G429" s="36"/>
      <c r="H429" s="35"/>
      <c r="I429" s="35" t="s">
        <v>137</v>
      </c>
      <c r="J429" s="35"/>
      <c r="K429" s="159">
        <v>5</v>
      </c>
      <c r="L429" s="159">
        <v>8</v>
      </c>
      <c r="M429" s="160">
        <v>1</v>
      </c>
      <c r="N429" s="191"/>
      <c r="O429" s="190" t="str">
        <f t="shared" ref="O429:O450" si="271">IF(AND($I429="In",ISNUMBER($K429)),$M429*$K429,"")</f>
        <v/>
      </c>
      <c r="P429" s="191"/>
      <c r="Q429" s="190" t="str">
        <f t="shared" ref="Q429:Q450" si="272">IF(AND($I429="In",ISNUMBER($L429)),$M429*$L429,"")</f>
        <v/>
      </c>
      <c r="R429" s="191"/>
      <c r="S429" s="190" t="str">
        <f t="shared" si="264"/>
        <v/>
      </c>
      <c r="T429" s="44"/>
    </row>
    <row r="430" spans="1:20" ht="22.5" customHeight="1">
      <c r="A430" s="23"/>
      <c r="B430" s="34"/>
      <c r="C430" s="35" t="s">
        <v>512</v>
      </c>
      <c r="D430" s="36" t="s">
        <v>30</v>
      </c>
      <c r="E430" s="211" t="s">
        <v>540</v>
      </c>
      <c r="F430" s="231" t="s">
        <v>149</v>
      </c>
      <c r="G430" s="36"/>
      <c r="H430" s="35"/>
      <c r="I430" s="35" t="s">
        <v>132</v>
      </c>
      <c r="J430" s="35"/>
      <c r="K430" s="159">
        <v>4</v>
      </c>
      <c r="L430" s="159">
        <v>6</v>
      </c>
      <c r="M430" s="160">
        <v>1</v>
      </c>
      <c r="N430" s="191"/>
      <c r="O430" s="190">
        <f t="shared" si="271"/>
        <v>4</v>
      </c>
      <c r="P430" s="191"/>
      <c r="Q430" s="190">
        <f t="shared" si="272"/>
        <v>6</v>
      </c>
      <c r="R430" s="191"/>
      <c r="S430" s="190">
        <f t="shared" si="264"/>
        <v>5</v>
      </c>
      <c r="T430" s="44"/>
    </row>
    <row r="431" spans="1:20" ht="30.75" customHeight="1">
      <c r="A431" s="23"/>
      <c r="B431" s="34"/>
      <c r="C431" s="35" t="s">
        <v>309</v>
      </c>
      <c r="D431" s="36" t="s">
        <v>24</v>
      </c>
      <c r="E431" s="260" t="s">
        <v>541</v>
      </c>
      <c r="F431" s="231" t="s">
        <v>149</v>
      </c>
      <c r="G431" s="258" t="s">
        <v>542</v>
      </c>
      <c r="H431" s="258" t="s">
        <v>543</v>
      </c>
      <c r="I431" s="35" t="s">
        <v>132</v>
      </c>
      <c r="J431" s="35"/>
      <c r="K431" s="159"/>
      <c r="L431" s="159"/>
      <c r="M431" s="160">
        <v>1</v>
      </c>
      <c r="N431" s="191"/>
      <c r="O431" s="190" t="str">
        <f t="shared" ref="O431:O448" si="273">IF(AND($I431="In",ISNUMBER($K431)),$M431*$K431,"")</f>
        <v/>
      </c>
      <c r="P431" s="191"/>
      <c r="Q431" s="190" t="str">
        <f t="shared" ref="Q431:Q448" si="274">IF(AND($I431="In",ISNUMBER($L431)),$M431*$L431,"")</f>
        <v/>
      </c>
      <c r="R431" s="191"/>
      <c r="S431" s="190" t="str">
        <f t="shared" ref="S431:S448" si="275">IF(AND(ISNUMBER(O431),ISNUMBER(Q431)),ROUND((O431+Q431)/2, 1),"")</f>
        <v/>
      </c>
      <c r="T431" s="44"/>
    </row>
    <row r="432" spans="1:20" ht="26">
      <c r="A432" s="23"/>
      <c r="B432" s="34"/>
      <c r="C432" s="35" t="s">
        <v>309</v>
      </c>
      <c r="D432" s="36" t="s">
        <v>24</v>
      </c>
      <c r="E432" s="259" t="s">
        <v>544</v>
      </c>
      <c r="F432" s="231" t="s">
        <v>149</v>
      </c>
      <c r="G432" s="258"/>
      <c r="H432" s="258" t="s">
        <v>545</v>
      </c>
      <c r="I432" s="35" t="s">
        <v>132</v>
      </c>
      <c r="J432" s="35"/>
      <c r="K432" s="159">
        <v>3</v>
      </c>
      <c r="L432" s="159">
        <v>5</v>
      </c>
      <c r="M432" s="160">
        <v>1</v>
      </c>
      <c r="N432" s="191">
        <v>2.6875</v>
      </c>
      <c r="O432" s="190">
        <f t="shared" si="273"/>
        <v>3</v>
      </c>
      <c r="P432" s="191">
        <v>4.5</v>
      </c>
      <c r="Q432" s="190">
        <f t="shared" si="274"/>
        <v>5</v>
      </c>
      <c r="R432" s="191"/>
      <c r="S432" s="190">
        <f t="shared" si="275"/>
        <v>4</v>
      </c>
      <c r="T432" s="44"/>
    </row>
    <row r="433" spans="1:20" ht="26">
      <c r="A433" s="23"/>
      <c r="B433" s="34"/>
      <c r="C433" s="35" t="s">
        <v>309</v>
      </c>
      <c r="D433" s="36" t="s">
        <v>24</v>
      </c>
      <c r="E433" s="259" t="s">
        <v>546</v>
      </c>
      <c r="F433" s="231" t="s">
        <v>149</v>
      </c>
      <c r="G433" s="258" t="s">
        <v>547</v>
      </c>
      <c r="H433" s="258" t="s">
        <v>545</v>
      </c>
      <c r="I433" s="35" t="s">
        <v>132</v>
      </c>
      <c r="J433" s="35"/>
      <c r="K433" s="159">
        <v>1</v>
      </c>
      <c r="L433" s="159">
        <v>2</v>
      </c>
      <c r="M433" s="160">
        <v>1</v>
      </c>
      <c r="N433" s="191">
        <v>2.6875</v>
      </c>
      <c r="O433" s="190">
        <f t="shared" si="273"/>
        <v>1</v>
      </c>
      <c r="P433" s="191">
        <v>4.5</v>
      </c>
      <c r="Q433" s="190">
        <f t="shared" si="274"/>
        <v>2</v>
      </c>
      <c r="R433" s="191"/>
      <c r="S433" s="190">
        <f t="shared" si="275"/>
        <v>1.5</v>
      </c>
      <c r="T433" s="44"/>
    </row>
    <row r="434" spans="1:20" ht="26">
      <c r="A434" s="23"/>
      <c r="B434" s="34"/>
      <c r="C434" s="35" t="s">
        <v>309</v>
      </c>
      <c r="D434" s="36" t="s">
        <v>24</v>
      </c>
      <c r="E434" s="259" t="s">
        <v>548</v>
      </c>
      <c r="F434" s="231" t="s">
        <v>149</v>
      </c>
      <c r="G434" s="258"/>
      <c r="H434" s="258" t="s">
        <v>549</v>
      </c>
      <c r="I434" s="35" t="s">
        <v>132</v>
      </c>
      <c r="J434" s="35"/>
      <c r="K434" s="159">
        <v>1</v>
      </c>
      <c r="L434" s="159">
        <v>2</v>
      </c>
      <c r="M434" s="160">
        <v>1</v>
      </c>
      <c r="N434" s="191"/>
      <c r="O434" s="190">
        <f t="shared" si="273"/>
        <v>1</v>
      </c>
      <c r="P434" s="191"/>
      <c r="Q434" s="190">
        <f t="shared" si="274"/>
        <v>2</v>
      </c>
      <c r="R434" s="191"/>
      <c r="S434" s="190">
        <f t="shared" si="275"/>
        <v>1.5</v>
      </c>
      <c r="T434" s="44"/>
    </row>
    <row r="435" spans="1:20" ht="26">
      <c r="A435" s="23"/>
      <c r="B435" s="34"/>
      <c r="C435" s="35" t="s">
        <v>309</v>
      </c>
      <c r="D435" s="36" t="s">
        <v>24</v>
      </c>
      <c r="E435" s="259" t="s">
        <v>550</v>
      </c>
      <c r="F435" s="231" t="s">
        <v>149</v>
      </c>
      <c r="G435" s="258"/>
      <c r="H435" s="258" t="s">
        <v>551</v>
      </c>
      <c r="I435" s="35" t="s">
        <v>132</v>
      </c>
      <c r="J435" s="35"/>
      <c r="K435" s="159">
        <v>1</v>
      </c>
      <c r="L435" s="159">
        <v>2</v>
      </c>
      <c r="M435" s="160">
        <v>1</v>
      </c>
      <c r="N435" s="191"/>
      <c r="O435" s="190">
        <f t="shared" si="273"/>
        <v>1</v>
      </c>
      <c r="P435" s="191"/>
      <c r="Q435" s="190">
        <f t="shared" si="274"/>
        <v>2</v>
      </c>
      <c r="R435" s="191"/>
      <c r="S435" s="190">
        <f t="shared" si="275"/>
        <v>1.5</v>
      </c>
      <c r="T435" s="44"/>
    </row>
    <row r="436" spans="1:20" ht="26">
      <c r="A436" s="23"/>
      <c r="B436" s="34"/>
      <c r="C436" s="35" t="s">
        <v>309</v>
      </c>
      <c r="D436" s="36" t="s">
        <v>24</v>
      </c>
      <c r="E436" s="259" t="s">
        <v>552</v>
      </c>
      <c r="F436" s="231" t="s">
        <v>149</v>
      </c>
      <c r="G436" s="258"/>
      <c r="H436" s="258" t="s">
        <v>553</v>
      </c>
      <c r="I436" s="35" t="s">
        <v>132</v>
      </c>
      <c r="J436" s="35"/>
      <c r="K436" s="159">
        <v>1</v>
      </c>
      <c r="L436" s="159">
        <v>2</v>
      </c>
      <c r="M436" s="160">
        <v>1</v>
      </c>
      <c r="N436" s="191"/>
      <c r="O436" s="190">
        <f t="shared" si="273"/>
        <v>1</v>
      </c>
      <c r="P436" s="191"/>
      <c r="Q436" s="190">
        <f t="shared" si="274"/>
        <v>2</v>
      </c>
      <c r="R436" s="191"/>
      <c r="S436" s="190">
        <f t="shared" si="275"/>
        <v>1.5</v>
      </c>
      <c r="T436" s="44"/>
    </row>
    <row r="437" spans="1:20" ht="26">
      <c r="A437" s="23"/>
      <c r="B437" s="34"/>
      <c r="C437" s="35" t="s">
        <v>309</v>
      </c>
      <c r="D437" s="36" t="s">
        <v>24</v>
      </c>
      <c r="E437" s="259" t="s">
        <v>554</v>
      </c>
      <c r="F437" s="231" t="s">
        <v>149</v>
      </c>
      <c r="G437" s="258"/>
      <c r="H437" s="258" t="s">
        <v>555</v>
      </c>
      <c r="I437" s="35" t="s">
        <v>132</v>
      </c>
      <c r="J437" s="35"/>
      <c r="K437" s="159">
        <v>0.5</v>
      </c>
      <c r="L437" s="159">
        <v>0.75</v>
      </c>
      <c r="M437" s="160">
        <v>1</v>
      </c>
      <c r="N437" s="191">
        <v>1.75</v>
      </c>
      <c r="O437" s="190">
        <f t="shared" si="273"/>
        <v>0.5</v>
      </c>
      <c r="P437" s="191">
        <v>3.25</v>
      </c>
      <c r="Q437" s="190">
        <f t="shared" si="274"/>
        <v>0.75</v>
      </c>
      <c r="R437" s="191"/>
      <c r="S437" s="190">
        <f t="shared" si="275"/>
        <v>0.6</v>
      </c>
      <c r="T437" s="44"/>
    </row>
    <row r="438" spans="1:20" ht="26">
      <c r="A438" s="23"/>
      <c r="B438" s="34"/>
      <c r="C438" s="35" t="s">
        <v>309</v>
      </c>
      <c r="D438" s="36" t="s">
        <v>24</v>
      </c>
      <c r="E438" s="259" t="s">
        <v>556</v>
      </c>
      <c r="F438" s="231" t="s">
        <v>149</v>
      </c>
      <c r="G438" s="258"/>
      <c r="H438" s="258" t="s">
        <v>557</v>
      </c>
      <c r="I438" s="35" t="s">
        <v>137</v>
      </c>
      <c r="J438" s="35"/>
      <c r="K438" s="159">
        <v>2</v>
      </c>
      <c r="L438" s="159">
        <v>3</v>
      </c>
      <c r="M438" s="160">
        <v>1</v>
      </c>
      <c r="N438" s="191"/>
      <c r="O438" s="190" t="str">
        <f t="shared" si="273"/>
        <v/>
      </c>
      <c r="P438" s="191"/>
      <c r="Q438" s="190" t="str">
        <f t="shared" si="274"/>
        <v/>
      </c>
      <c r="R438" s="191"/>
      <c r="S438" s="190" t="str">
        <f t="shared" si="275"/>
        <v/>
      </c>
      <c r="T438" s="44"/>
    </row>
    <row r="439" spans="1:20" ht="26">
      <c r="A439" s="23"/>
      <c r="B439" s="34"/>
      <c r="C439" s="35" t="s">
        <v>309</v>
      </c>
      <c r="D439" s="36" t="s">
        <v>24</v>
      </c>
      <c r="E439" s="259" t="s">
        <v>558</v>
      </c>
      <c r="F439" s="231" t="s">
        <v>149</v>
      </c>
      <c r="G439" s="258"/>
      <c r="H439" s="258" t="s">
        <v>559</v>
      </c>
      <c r="I439" s="35" t="s">
        <v>132</v>
      </c>
      <c r="J439" s="35"/>
      <c r="K439" s="159">
        <v>1</v>
      </c>
      <c r="L439" s="159">
        <v>2</v>
      </c>
      <c r="M439" s="160">
        <v>1</v>
      </c>
      <c r="N439" s="191"/>
      <c r="O439" s="190">
        <f t="shared" si="273"/>
        <v>1</v>
      </c>
      <c r="P439" s="191"/>
      <c r="Q439" s="190">
        <f t="shared" si="274"/>
        <v>2</v>
      </c>
      <c r="R439" s="191"/>
      <c r="S439" s="190">
        <f t="shared" si="275"/>
        <v>1.5</v>
      </c>
      <c r="T439" s="44"/>
    </row>
    <row r="440" spans="1:20" ht="48.75" customHeight="1">
      <c r="A440" s="23"/>
      <c r="B440" s="34"/>
      <c r="C440" s="35" t="s">
        <v>309</v>
      </c>
      <c r="D440" s="36" t="s">
        <v>24</v>
      </c>
      <c r="E440" s="260" t="s">
        <v>560</v>
      </c>
      <c r="F440" s="231" t="s">
        <v>149</v>
      </c>
      <c r="G440" s="258" t="s">
        <v>561</v>
      </c>
      <c r="H440" s="258" t="s">
        <v>543</v>
      </c>
      <c r="I440" s="35" t="s">
        <v>132</v>
      </c>
      <c r="J440" s="35"/>
      <c r="K440" s="159"/>
      <c r="L440" s="159"/>
      <c r="M440" s="160">
        <v>1</v>
      </c>
      <c r="N440" s="191"/>
      <c r="O440" s="190" t="str">
        <f t="shared" si="273"/>
        <v/>
      </c>
      <c r="P440" s="191"/>
      <c r="Q440" s="190" t="str">
        <f t="shared" si="274"/>
        <v/>
      </c>
      <c r="R440" s="191"/>
      <c r="S440" s="190" t="str">
        <f t="shared" si="275"/>
        <v/>
      </c>
      <c r="T440" s="44"/>
    </row>
    <row r="441" spans="1:20" ht="26">
      <c r="A441" s="23"/>
      <c r="B441" s="34"/>
      <c r="C441" s="35" t="s">
        <v>309</v>
      </c>
      <c r="D441" s="36" t="s">
        <v>24</v>
      </c>
      <c r="E441" s="259" t="s">
        <v>544</v>
      </c>
      <c r="F441" s="231" t="s">
        <v>149</v>
      </c>
      <c r="G441" s="258"/>
      <c r="H441" s="258" t="s">
        <v>545</v>
      </c>
      <c r="I441" s="35" t="s">
        <v>132</v>
      </c>
      <c r="J441" s="35"/>
      <c r="K441" s="159">
        <v>3</v>
      </c>
      <c r="L441" s="159">
        <v>5</v>
      </c>
      <c r="M441" s="160">
        <v>1</v>
      </c>
      <c r="N441" s="191">
        <v>2.6875</v>
      </c>
      <c r="O441" s="190">
        <f t="shared" si="273"/>
        <v>3</v>
      </c>
      <c r="P441" s="191">
        <v>4.5</v>
      </c>
      <c r="Q441" s="190">
        <f t="shared" si="274"/>
        <v>5</v>
      </c>
      <c r="R441" s="191"/>
      <c r="S441" s="190">
        <f t="shared" si="275"/>
        <v>4</v>
      </c>
      <c r="T441" s="44"/>
    </row>
    <row r="442" spans="1:20" ht="26">
      <c r="A442" s="23"/>
      <c r="B442" s="34"/>
      <c r="C442" s="35" t="s">
        <v>309</v>
      </c>
      <c r="D442" s="36" t="s">
        <v>24</v>
      </c>
      <c r="E442" s="259" t="s">
        <v>546</v>
      </c>
      <c r="F442" s="231" t="s">
        <v>149</v>
      </c>
      <c r="G442" s="258"/>
      <c r="H442" s="258" t="s">
        <v>545</v>
      </c>
      <c r="I442" s="35" t="s">
        <v>132</v>
      </c>
      <c r="J442" s="35"/>
      <c r="K442" s="159">
        <v>1</v>
      </c>
      <c r="L442" s="159">
        <v>2</v>
      </c>
      <c r="M442" s="160">
        <v>1</v>
      </c>
      <c r="N442" s="191">
        <v>2.6875</v>
      </c>
      <c r="O442" s="190">
        <f t="shared" si="273"/>
        <v>1</v>
      </c>
      <c r="P442" s="191">
        <v>4.5</v>
      </c>
      <c r="Q442" s="190">
        <f t="shared" si="274"/>
        <v>2</v>
      </c>
      <c r="R442" s="191"/>
      <c r="S442" s="190">
        <f t="shared" si="275"/>
        <v>1.5</v>
      </c>
      <c r="T442" s="44"/>
    </row>
    <row r="443" spans="1:20" ht="26">
      <c r="A443" s="23"/>
      <c r="B443" s="34"/>
      <c r="C443" s="35" t="s">
        <v>309</v>
      </c>
      <c r="D443" s="36" t="s">
        <v>24</v>
      </c>
      <c r="E443" s="259" t="s">
        <v>548</v>
      </c>
      <c r="F443" s="231" t="s">
        <v>149</v>
      </c>
      <c r="G443" s="258"/>
      <c r="H443" s="258" t="s">
        <v>549</v>
      </c>
      <c r="I443" s="35" t="s">
        <v>132</v>
      </c>
      <c r="J443" s="35"/>
      <c r="K443" s="159">
        <v>1</v>
      </c>
      <c r="L443" s="159">
        <v>2</v>
      </c>
      <c r="M443" s="160">
        <v>1</v>
      </c>
      <c r="N443" s="191"/>
      <c r="O443" s="190">
        <f t="shared" si="273"/>
        <v>1</v>
      </c>
      <c r="P443" s="191"/>
      <c r="Q443" s="190">
        <f t="shared" si="274"/>
        <v>2</v>
      </c>
      <c r="R443" s="191"/>
      <c r="S443" s="190">
        <f t="shared" si="275"/>
        <v>1.5</v>
      </c>
      <c r="T443" s="44"/>
    </row>
    <row r="444" spans="1:20" ht="26">
      <c r="A444" s="23"/>
      <c r="B444" s="34"/>
      <c r="C444" s="35" t="s">
        <v>309</v>
      </c>
      <c r="D444" s="36" t="s">
        <v>24</v>
      </c>
      <c r="E444" s="259" t="s">
        <v>550</v>
      </c>
      <c r="F444" s="231" t="s">
        <v>149</v>
      </c>
      <c r="G444" s="258"/>
      <c r="H444" s="258" t="s">
        <v>551</v>
      </c>
      <c r="I444" s="35" t="s">
        <v>132</v>
      </c>
      <c r="J444" s="35"/>
      <c r="K444" s="159">
        <v>1</v>
      </c>
      <c r="L444" s="159">
        <v>2</v>
      </c>
      <c r="M444" s="160">
        <v>1</v>
      </c>
      <c r="N444" s="191"/>
      <c r="O444" s="190">
        <f t="shared" si="273"/>
        <v>1</v>
      </c>
      <c r="P444" s="191"/>
      <c r="Q444" s="190">
        <f t="shared" si="274"/>
        <v>2</v>
      </c>
      <c r="R444" s="191"/>
      <c r="S444" s="190">
        <f t="shared" si="275"/>
        <v>1.5</v>
      </c>
      <c r="T444" s="44"/>
    </row>
    <row r="445" spans="1:20" ht="26">
      <c r="A445" s="23"/>
      <c r="B445" s="34"/>
      <c r="C445" s="35" t="s">
        <v>309</v>
      </c>
      <c r="D445" s="36" t="s">
        <v>24</v>
      </c>
      <c r="E445" s="259" t="s">
        <v>552</v>
      </c>
      <c r="F445" s="231" t="s">
        <v>149</v>
      </c>
      <c r="G445" s="258"/>
      <c r="H445" s="258" t="s">
        <v>553</v>
      </c>
      <c r="I445" s="35" t="s">
        <v>132</v>
      </c>
      <c r="J445" s="35"/>
      <c r="K445" s="159">
        <v>1</v>
      </c>
      <c r="L445" s="159">
        <v>2</v>
      </c>
      <c r="M445" s="160">
        <v>1</v>
      </c>
      <c r="N445" s="191"/>
      <c r="O445" s="190">
        <f t="shared" si="273"/>
        <v>1</v>
      </c>
      <c r="P445" s="191"/>
      <c r="Q445" s="190">
        <f t="shared" si="274"/>
        <v>2</v>
      </c>
      <c r="R445" s="191"/>
      <c r="S445" s="190">
        <f t="shared" si="275"/>
        <v>1.5</v>
      </c>
      <c r="T445" s="44"/>
    </row>
    <row r="446" spans="1:20" ht="26">
      <c r="A446" s="23"/>
      <c r="B446" s="34"/>
      <c r="C446" s="35" t="s">
        <v>309</v>
      </c>
      <c r="D446" s="36" t="s">
        <v>24</v>
      </c>
      <c r="E446" s="259" t="s">
        <v>554</v>
      </c>
      <c r="F446" s="231" t="s">
        <v>149</v>
      </c>
      <c r="G446" s="258"/>
      <c r="H446" s="258" t="s">
        <v>555</v>
      </c>
      <c r="I446" s="35" t="s">
        <v>132</v>
      </c>
      <c r="J446" s="35"/>
      <c r="K446" s="159">
        <v>0.5</v>
      </c>
      <c r="L446" s="159">
        <v>0.75</v>
      </c>
      <c r="M446" s="160">
        <v>1</v>
      </c>
      <c r="N446" s="191">
        <v>1.75</v>
      </c>
      <c r="O446" s="190">
        <f t="shared" si="273"/>
        <v>0.5</v>
      </c>
      <c r="P446" s="191">
        <v>3.25</v>
      </c>
      <c r="Q446" s="190">
        <f t="shared" si="274"/>
        <v>0.75</v>
      </c>
      <c r="R446" s="191"/>
      <c r="S446" s="190">
        <f t="shared" si="275"/>
        <v>0.6</v>
      </c>
      <c r="T446" s="44"/>
    </row>
    <row r="447" spans="1:20" ht="26">
      <c r="A447" s="23"/>
      <c r="B447" s="34"/>
      <c r="C447" s="35" t="s">
        <v>309</v>
      </c>
      <c r="D447" s="36" t="s">
        <v>24</v>
      </c>
      <c r="E447" s="259" t="s">
        <v>556</v>
      </c>
      <c r="F447" s="231" t="s">
        <v>149</v>
      </c>
      <c r="G447" s="258"/>
      <c r="H447" s="258" t="s">
        <v>557</v>
      </c>
      <c r="I447" s="35" t="s">
        <v>132</v>
      </c>
      <c r="J447" s="35"/>
      <c r="K447" s="159">
        <v>2</v>
      </c>
      <c r="L447" s="159">
        <v>3</v>
      </c>
      <c r="M447" s="160">
        <v>1</v>
      </c>
      <c r="N447" s="191"/>
      <c r="O447" s="190">
        <f t="shared" si="273"/>
        <v>2</v>
      </c>
      <c r="P447" s="191"/>
      <c r="Q447" s="190">
        <f t="shared" si="274"/>
        <v>3</v>
      </c>
      <c r="R447" s="191"/>
      <c r="S447" s="190">
        <f t="shared" si="275"/>
        <v>2.5</v>
      </c>
      <c r="T447" s="44"/>
    </row>
    <row r="448" spans="1:20" ht="26">
      <c r="A448" s="23"/>
      <c r="B448" s="34"/>
      <c r="C448" s="35" t="s">
        <v>309</v>
      </c>
      <c r="D448" s="36" t="s">
        <v>24</v>
      </c>
      <c r="E448" s="259" t="s">
        <v>558</v>
      </c>
      <c r="F448" s="231" t="s">
        <v>149</v>
      </c>
      <c r="G448" s="258"/>
      <c r="H448" s="258" t="s">
        <v>559</v>
      </c>
      <c r="I448" s="35" t="s">
        <v>132</v>
      </c>
      <c r="J448" s="35"/>
      <c r="K448" s="159">
        <v>1</v>
      </c>
      <c r="L448" s="159">
        <v>2</v>
      </c>
      <c r="M448" s="160">
        <v>1</v>
      </c>
      <c r="N448" s="191"/>
      <c r="O448" s="190">
        <f t="shared" si="273"/>
        <v>1</v>
      </c>
      <c r="P448" s="191"/>
      <c r="Q448" s="190">
        <f t="shared" si="274"/>
        <v>2</v>
      </c>
      <c r="R448" s="191"/>
      <c r="S448" s="190">
        <f t="shared" si="275"/>
        <v>1.5</v>
      </c>
      <c r="T448" s="44"/>
    </row>
    <row r="449" spans="1:20" ht="26">
      <c r="A449" s="303"/>
      <c r="B449" s="34"/>
      <c r="C449" s="35" t="s">
        <v>491</v>
      </c>
      <c r="D449" s="36" t="s">
        <v>30</v>
      </c>
      <c r="E449" s="36" t="s">
        <v>562</v>
      </c>
      <c r="F449" s="231" t="s">
        <v>149</v>
      </c>
      <c r="G449" s="36"/>
      <c r="H449" s="35"/>
      <c r="I449" s="35" t="s">
        <v>132</v>
      </c>
      <c r="J449" s="35"/>
      <c r="K449" s="159">
        <v>30</v>
      </c>
      <c r="L449" s="159">
        <v>40</v>
      </c>
      <c r="M449" s="160">
        <v>1</v>
      </c>
      <c r="N449" s="191"/>
      <c r="O449" s="190">
        <f t="shared" si="271"/>
        <v>30</v>
      </c>
      <c r="P449" s="191"/>
      <c r="Q449" s="190">
        <f t="shared" si="272"/>
        <v>40</v>
      </c>
      <c r="R449" s="191"/>
      <c r="S449" s="190">
        <f t="shared" ref="S449:S450" si="276">IF(AND(ISNUMBER(O449),ISNUMBER(Q449)),ROUND((O449+Q449)/2, 1),"")</f>
        <v>35</v>
      </c>
      <c r="T449" s="44"/>
    </row>
    <row r="450" spans="1:20" ht="26">
      <c r="A450" s="303"/>
      <c r="B450" s="34"/>
      <c r="C450" s="35" t="s">
        <v>512</v>
      </c>
      <c r="D450" s="36" t="s">
        <v>30</v>
      </c>
      <c r="E450" s="36" t="s">
        <v>563</v>
      </c>
      <c r="F450" s="231" t="s">
        <v>149</v>
      </c>
      <c r="G450" s="36"/>
      <c r="H450" s="35"/>
      <c r="I450" s="35" t="s">
        <v>132</v>
      </c>
      <c r="J450" s="35"/>
      <c r="K450" s="159">
        <v>10</v>
      </c>
      <c r="L450" s="159">
        <v>15</v>
      </c>
      <c r="M450" s="160">
        <v>1</v>
      </c>
      <c r="N450" s="191"/>
      <c r="O450" s="190">
        <f t="shared" si="271"/>
        <v>10</v>
      </c>
      <c r="P450" s="191"/>
      <c r="Q450" s="190">
        <f t="shared" si="272"/>
        <v>15</v>
      </c>
      <c r="R450" s="191"/>
      <c r="S450" s="190">
        <f t="shared" si="276"/>
        <v>12.5</v>
      </c>
      <c r="T450" s="44"/>
    </row>
    <row r="451" spans="1:20" ht="26">
      <c r="A451" s="23"/>
      <c r="B451" s="34" t="s">
        <v>129</v>
      </c>
      <c r="C451" s="35" t="s">
        <v>172</v>
      </c>
      <c r="D451" s="36" t="s">
        <v>24</v>
      </c>
      <c r="E451" s="36" t="s">
        <v>175</v>
      </c>
      <c r="F451" s="231" t="s">
        <v>149</v>
      </c>
      <c r="G451" s="36"/>
      <c r="H451" s="35"/>
      <c r="I451" s="35" t="s">
        <v>132</v>
      </c>
      <c r="J451" s="35"/>
      <c r="K451" s="159"/>
      <c r="L451" s="159"/>
      <c r="M451" s="160">
        <v>1</v>
      </c>
      <c r="N451" s="191"/>
      <c r="O451" s="190" t="str">
        <f t="shared" si="58"/>
        <v/>
      </c>
      <c r="P451" s="191"/>
      <c r="Q451" s="190" t="str">
        <f t="shared" si="59"/>
        <v/>
      </c>
      <c r="R451" s="191"/>
      <c r="S451" s="190" t="str">
        <f t="shared" si="264"/>
        <v/>
      </c>
      <c r="T451" s="44"/>
    </row>
    <row r="452" spans="1:20" ht="26">
      <c r="A452" s="23"/>
      <c r="B452" s="34" t="s">
        <v>129</v>
      </c>
      <c r="C452" s="35" t="s">
        <v>172</v>
      </c>
      <c r="D452" s="36" t="s">
        <v>24</v>
      </c>
      <c r="E452" s="211" t="s">
        <v>176</v>
      </c>
      <c r="F452" s="231" t="s">
        <v>149</v>
      </c>
      <c r="G452" s="36" t="s">
        <v>564</v>
      </c>
      <c r="H452" s="35"/>
      <c r="I452" s="35" t="s">
        <v>132</v>
      </c>
      <c r="J452" s="35"/>
      <c r="K452" s="159">
        <v>5</v>
      </c>
      <c r="L452" s="159">
        <v>8</v>
      </c>
      <c r="M452" s="160">
        <v>1</v>
      </c>
      <c r="N452" s="191"/>
      <c r="O452" s="190">
        <f t="shared" si="58"/>
        <v>5</v>
      </c>
      <c r="P452" s="191"/>
      <c r="Q452" s="190">
        <f t="shared" si="59"/>
        <v>8</v>
      </c>
      <c r="R452" s="191"/>
      <c r="S452" s="190">
        <f t="shared" si="264"/>
        <v>6.5</v>
      </c>
      <c r="T452" s="44"/>
    </row>
    <row r="453" spans="1:20" ht="26">
      <c r="A453" s="23"/>
      <c r="B453" s="34" t="s">
        <v>129</v>
      </c>
      <c r="C453" s="35" t="s">
        <v>172</v>
      </c>
      <c r="D453" s="36" t="s">
        <v>24</v>
      </c>
      <c r="E453" s="211" t="s">
        <v>178</v>
      </c>
      <c r="F453" s="231" t="s">
        <v>149</v>
      </c>
      <c r="G453" s="36"/>
      <c r="H453" s="35"/>
      <c r="I453" s="35" t="s">
        <v>132</v>
      </c>
      <c r="J453" s="35"/>
      <c r="K453" s="159">
        <v>5</v>
      </c>
      <c r="L453" s="159">
        <v>8</v>
      </c>
      <c r="M453" s="160">
        <v>1</v>
      </c>
      <c r="N453" s="191"/>
      <c r="O453" s="190">
        <f t="shared" si="58"/>
        <v>5</v>
      </c>
      <c r="P453" s="191"/>
      <c r="Q453" s="190">
        <f t="shared" si="59"/>
        <v>8</v>
      </c>
      <c r="R453" s="191"/>
      <c r="S453" s="190">
        <f t="shared" si="264"/>
        <v>6.5</v>
      </c>
      <c r="T453" s="44"/>
    </row>
    <row r="454" spans="1:20" ht="26">
      <c r="A454" s="23"/>
      <c r="B454" s="34" t="s">
        <v>129</v>
      </c>
      <c r="C454" s="35" t="s">
        <v>172</v>
      </c>
      <c r="D454" s="36" t="s">
        <v>24</v>
      </c>
      <c r="E454" s="211" t="s">
        <v>179</v>
      </c>
      <c r="F454" s="231" t="s">
        <v>149</v>
      </c>
      <c r="G454" s="36"/>
      <c r="H454" s="35"/>
      <c r="I454" s="35" t="s">
        <v>137</v>
      </c>
      <c r="J454" s="35"/>
      <c r="K454" s="159">
        <v>5</v>
      </c>
      <c r="L454" s="159">
        <v>7</v>
      </c>
      <c r="M454" s="160">
        <v>1</v>
      </c>
      <c r="N454" s="191"/>
      <c r="O454" s="190" t="str">
        <f t="shared" ref="O454" si="277">IF(AND($I454="In",ISNUMBER($K454)),$M454*$K454,"")</f>
        <v/>
      </c>
      <c r="P454" s="191"/>
      <c r="Q454" s="190" t="str">
        <f t="shared" si="59"/>
        <v/>
      </c>
      <c r="R454" s="191"/>
      <c r="S454" s="190" t="str">
        <f t="shared" si="264"/>
        <v/>
      </c>
      <c r="T454" s="44"/>
    </row>
    <row r="455" spans="1:20" ht="26">
      <c r="A455" s="23"/>
      <c r="B455" s="34" t="s">
        <v>129</v>
      </c>
      <c r="C455" s="35" t="s">
        <v>172</v>
      </c>
      <c r="D455" s="36" t="s">
        <v>24</v>
      </c>
      <c r="E455" s="36" t="s">
        <v>565</v>
      </c>
      <c r="F455" s="231" t="s">
        <v>149</v>
      </c>
      <c r="G455" s="36"/>
      <c r="H455" s="35"/>
      <c r="I455" s="35" t="s">
        <v>132</v>
      </c>
      <c r="J455" s="35"/>
      <c r="K455" s="159">
        <v>8</v>
      </c>
      <c r="L455" s="159">
        <v>12</v>
      </c>
      <c r="M455" s="160">
        <v>1</v>
      </c>
      <c r="N455" s="191"/>
      <c r="O455" s="190">
        <f t="shared" si="58"/>
        <v>8</v>
      </c>
      <c r="P455" s="191"/>
      <c r="Q455" s="190">
        <f t="shared" si="59"/>
        <v>12</v>
      </c>
      <c r="R455" s="191"/>
      <c r="S455" s="190">
        <f t="shared" si="264"/>
        <v>10</v>
      </c>
      <c r="T455" s="44"/>
    </row>
    <row r="456" spans="1:20" ht="26">
      <c r="A456" s="303"/>
      <c r="B456" s="34"/>
      <c r="C456" s="35" t="s">
        <v>172</v>
      </c>
      <c r="D456" s="36" t="s">
        <v>24</v>
      </c>
      <c r="E456" s="36" t="s">
        <v>566</v>
      </c>
      <c r="F456" s="231" t="s">
        <v>149</v>
      </c>
      <c r="G456" s="36"/>
      <c r="H456" s="35"/>
      <c r="I456" s="35" t="s">
        <v>132</v>
      </c>
      <c r="J456" s="35"/>
      <c r="K456" s="159">
        <v>10</v>
      </c>
      <c r="L456" s="159">
        <v>15</v>
      </c>
      <c r="M456" s="160">
        <v>1</v>
      </c>
      <c r="N456" s="191"/>
      <c r="O456" s="190">
        <f t="shared" si="58"/>
        <v>10</v>
      </c>
      <c r="P456" s="191"/>
      <c r="Q456" s="190">
        <f t="shared" si="59"/>
        <v>15</v>
      </c>
      <c r="R456" s="191"/>
      <c r="S456" s="190">
        <f t="shared" ref="S456" si="278">IF(AND(ISNUMBER(O456),ISNUMBER(Q456)),ROUND((O456+Q456)/2, 1),"")</f>
        <v>12.5</v>
      </c>
      <c r="T456" s="44" t="s">
        <v>567</v>
      </c>
    </row>
    <row r="457" spans="1:20" ht="26">
      <c r="A457" s="303"/>
      <c r="B457" s="34"/>
      <c r="C457" s="35" t="s">
        <v>172</v>
      </c>
      <c r="D457" s="36" t="s">
        <v>24</v>
      </c>
      <c r="E457" s="36" t="s">
        <v>568</v>
      </c>
      <c r="F457" s="231" t="s">
        <v>149</v>
      </c>
      <c r="G457" s="36" t="s">
        <v>569</v>
      </c>
      <c r="H457" s="35"/>
      <c r="I457" s="35" t="s">
        <v>132</v>
      </c>
      <c r="J457" s="35"/>
      <c r="K457" s="159">
        <f>130/8</f>
        <v>16.25</v>
      </c>
      <c r="L457" s="159">
        <f>260/8</f>
        <v>32.5</v>
      </c>
      <c r="M457" s="160">
        <v>1</v>
      </c>
      <c r="N457" s="191"/>
      <c r="O457" s="190">
        <f t="shared" si="58"/>
        <v>16.25</v>
      </c>
      <c r="P457" s="191"/>
      <c r="Q457" s="190">
        <f t="shared" si="59"/>
        <v>32.5</v>
      </c>
      <c r="R457" s="191"/>
      <c r="S457" s="190">
        <f t="shared" si="264"/>
        <v>24.4</v>
      </c>
      <c r="T457" s="44" t="s">
        <v>567</v>
      </c>
    </row>
    <row r="458" spans="1:20" ht="26">
      <c r="A458" s="303"/>
      <c r="B458" s="34" t="s">
        <v>129</v>
      </c>
      <c r="C458" s="35" t="s">
        <v>27</v>
      </c>
      <c r="D458" s="36" t="s">
        <v>24</v>
      </c>
      <c r="E458" s="36" t="s">
        <v>570</v>
      </c>
      <c r="F458" s="231" t="s">
        <v>149</v>
      </c>
      <c r="G458" s="36" t="s">
        <v>571</v>
      </c>
      <c r="H458" s="35"/>
      <c r="I458" s="35" t="s">
        <v>132</v>
      </c>
      <c r="J458" s="35"/>
      <c r="K458" s="44">
        <v>0.125</v>
      </c>
      <c r="L458" s="44">
        <v>0.125</v>
      </c>
      <c r="M458" s="160">
        <v>62</v>
      </c>
      <c r="N458" s="191">
        <v>0.25</v>
      </c>
      <c r="O458" s="190">
        <f t="shared" ref="O458:O462" si="279">IF(AND($I458="In",ISNUMBER($K458)),$M458*$K458,"")</f>
        <v>7.75</v>
      </c>
      <c r="P458" s="191">
        <v>0.5</v>
      </c>
      <c r="Q458" s="190">
        <f t="shared" ref="Q458:Q462" si="280">IF(AND($I458="In",ISNUMBER($L458)),$M458*$L458,"")</f>
        <v>7.75</v>
      </c>
      <c r="R458" s="191"/>
      <c r="S458" s="190">
        <f t="shared" ref="S458:S462" si="281">IF(AND(ISNUMBER(O458),ISNUMBER(Q458)),ROUND((O458+Q458)/2, 1),"")</f>
        <v>7.8</v>
      </c>
      <c r="T458" s="44"/>
    </row>
    <row r="459" spans="1:20" ht="26">
      <c r="A459" s="303"/>
      <c r="B459" s="34" t="s">
        <v>129</v>
      </c>
      <c r="C459" s="35" t="s">
        <v>27</v>
      </c>
      <c r="D459" s="36" t="s">
        <v>24</v>
      </c>
      <c r="E459" s="36" t="s">
        <v>572</v>
      </c>
      <c r="F459" s="231" t="s">
        <v>149</v>
      </c>
      <c r="G459" s="36" t="s">
        <v>571</v>
      </c>
      <c r="H459" s="35"/>
      <c r="I459" s="35" t="s">
        <v>132</v>
      </c>
      <c r="J459" s="35"/>
      <c r="K459" s="44">
        <v>0.125</v>
      </c>
      <c r="L459" s="44">
        <v>0.125</v>
      </c>
      <c r="M459" s="160">
        <v>31</v>
      </c>
      <c r="N459" s="191">
        <v>0.25</v>
      </c>
      <c r="O459" s="190">
        <f t="shared" si="279"/>
        <v>3.875</v>
      </c>
      <c r="P459" s="191">
        <v>0.5</v>
      </c>
      <c r="Q459" s="190">
        <f t="shared" si="280"/>
        <v>3.875</v>
      </c>
      <c r="R459" s="191"/>
      <c r="S459" s="190">
        <f t="shared" ref="S459" si="282">IF(AND(ISNUMBER(O459),ISNUMBER(Q459)),ROUND((O459+Q459)/2, 1),"")</f>
        <v>3.9</v>
      </c>
      <c r="T459" s="44"/>
    </row>
    <row r="460" spans="1:20" ht="26">
      <c r="A460" s="303"/>
      <c r="B460" s="34" t="s">
        <v>129</v>
      </c>
      <c r="C460" s="35" t="s">
        <v>27</v>
      </c>
      <c r="D460" s="36" t="s">
        <v>24</v>
      </c>
      <c r="E460" s="36" t="s">
        <v>573</v>
      </c>
      <c r="F460" s="231" t="s">
        <v>149</v>
      </c>
      <c r="G460" s="36" t="s">
        <v>571</v>
      </c>
      <c r="H460" s="35"/>
      <c r="I460" s="35" t="s">
        <v>132</v>
      </c>
      <c r="J460" s="35"/>
      <c r="K460" s="44">
        <v>0.125</v>
      </c>
      <c r="L460" s="44">
        <v>0.125</v>
      </c>
      <c r="M460" s="160">
        <v>15</v>
      </c>
      <c r="N460" s="191">
        <v>0.25</v>
      </c>
      <c r="O460" s="190">
        <f t="shared" si="279"/>
        <v>1.875</v>
      </c>
      <c r="P460" s="191">
        <v>0.5</v>
      </c>
      <c r="Q460" s="190">
        <f t="shared" si="280"/>
        <v>1.875</v>
      </c>
      <c r="R460" s="191"/>
      <c r="S460" s="190">
        <f t="shared" ref="S460" si="283">IF(AND(ISNUMBER(O460),ISNUMBER(Q460)),ROUND((O460+Q460)/2, 1),"")</f>
        <v>1.9</v>
      </c>
      <c r="T460" s="44"/>
    </row>
    <row r="461" spans="1:20" ht="26">
      <c r="A461" s="303"/>
      <c r="B461" s="34" t="s">
        <v>129</v>
      </c>
      <c r="C461" s="35" t="s">
        <v>27</v>
      </c>
      <c r="D461" s="36" t="s">
        <v>24</v>
      </c>
      <c r="E461" s="36" t="s">
        <v>574</v>
      </c>
      <c r="F461" s="231" t="s">
        <v>149</v>
      </c>
      <c r="G461" s="36" t="s">
        <v>571</v>
      </c>
      <c r="H461" s="35"/>
      <c r="I461" s="35" t="s">
        <v>132</v>
      </c>
      <c r="J461" s="35"/>
      <c r="K461" s="44">
        <v>0.125</v>
      </c>
      <c r="L461" s="44">
        <v>0.125</v>
      </c>
      <c r="M461" s="160">
        <v>15</v>
      </c>
      <c r="N461" s="191">
        <v>0.25</v>
      </c>
      <c r="O461" s="190">
        <f t="shared" si="279"/>
        <v>1.875</v>
      </c>
      <c r="P461" s="191">
        <v>0.5</v>
      </c>
      <c r="Q461" s="190">
        <f t="shared" si="280"/>
        <v>1.875</v>
      </c>
      <c r="R461" s="191"/>
      <c r="S461" s="190">
        <f t="shared" ref="S461" si="284">IF(AND(ISNUMBER(O461),ISNUMBER(Q461)),ROUND((O461+Q461)/2, 1),"")</f>
        <v>1.9</v>
      </c>
      <c r="T461" s="44"/>
    </row>
    <row r="462" spans="1:20" ht="26">
      <c r="A462" s="303"/>
      <c r="B462" s="34" t="s">
        <v>129</v>
      </c>
      <c r="C462" s="35" t="s">
        <v>309</v>
      </c>
      <c r="D462" s="36" t="s">
        <v>24</v>
      </c>
      <c r="E462" s="36" t="s">
        <v>575</v>
      </c>
      <c r="F462" s="231" t="s">
        <v>149</v>
      </c>
      <c r="G462" s="36"/>
      <c r="H462" s="35"/>
      <c r="I462" s="35" t="s">
        <v>132</v>
      </c>
      <c r="J462" s="35"/>
      <c r="K462" s="159">
        <v>10</v>
      </c>
      <c r="L462" s="159">
        <v>10</v>
      </c>
      <c r="M462" s="160">
        <v>3</v>
      </c>
      <c r="N462" s="191"/>
      <c r="O462" s="190">
        <f t="shared" si="279"/>
        <v>30</v>
      </c>
      <c r="P462" s="191"/>
      <c r="Q462" s="190">
        <f t="shared" si="280"/>
        <v>30</v>
      </c>
      <c r="R462" s="191"/>
      <c r="S462" s="190">
        <f t="shared" si="281"/>
        <v>30</v>
      </c>
      <c r="T462" s="44"/>
    </row>
    <row r="463" spans="1:20" ht="26">
      <c r="A463" s="303"/>
      <c r="B463" s="34" t="s">
        <v>129</v>
      </c>
      <c r="C463" s="35" t="s">
        <v>576</v>
      </c>
      <c r="D463" s="36" t="s">
        <v>26</v>
      </c>
      <c r="E463" s="36" t="s">
        <v>577</v>
      </c>
      <c r="F463" s="231" t="s">
        <v>149</v>
      </c>
      <c r="G463" s="36" t="s">
        <v>578</v>
      </c>
      <c r="H463" s="35"/>
      <c r="I463" s="35" t="s">
        <v>132</v>
      </c>
      <c r="J463" s="35"/>
      <c r="K463" s="233">
        <v>30</v>
      </c>
      <c r="L463" s="233">
        <v>30</v>
      </c>
      <c r="M463" s="160">
        <v>3</v>
      </c>
      <c r="N463" s="191"/>
      <c r="O463" s="190">
        <f t="shared" si="58"/>
        <v>90</v>
      </c>
      <c r="P463" s="191"/>
      <c r="Q463" s="190">
        <f t="shared" si="59"/>
        <v>90</v>
      </c>
      <c r="R463" s="191"/>
      <c r="S463" s="190">
        <f t="shared" ref="S463:S525" si="285">IF(AND(ISNUMBER(O463),ISNUMBER(Q463)),ROUND((O463+Q463)/2, 1),"")</f>
        <v>90</v>
      </c>
      <c r="T463" s="44"/>
    </row>
    <row r="464" spans="1:20" ht="26">
      <c r="A464" s="303"/>
      <c r="B464" s="34" t="s">
        <v>129</v>
      </c>
      <c r="C464" s="35" t="s">
        <v>576</v>
      </c>
      <c r="D464" s="36" t="s">
        <v>24</v>
      </c>
      <c r="E464" s="36" t="s">
        <v>579</v>
      </c>
      <c r="F464" s="231" t="s">
        <v>149</v>
      </c>
      <c r="G464" s="36" t="s">
        <v>580</v>
      </c>
      <c r="H464" s="35"/>
      <c r="I464" s="35" t="s">
        <v>132</v>
      </c>
      <c r="J464" s="35"/>
      <c r="K464" s="233">
        <v>30</v>
      </c>
      <c r="L464" s="233">
        <v>30</v>
      </c>
      <c r="M464" s="160">
        <v>6</v>
      </c>
      <c r="N464" s="191"/>
      <c r="O464" s="190">
        <f t="shared" si="58"/>
        <v>180</v>
      </c>
      <c r="P464" s="191"/>
      <c r="Q464" s="190">
        <f t="shared" si="59"/>
        <v>180</v>
      </c>
      <c r="R464" s="191"/>
      <c r="S464" s="190">
        <f t="shared" si="285"/>
        <v>180</v>
      </c>
      <c r="T464" s="44"/>
    </row>
    <row r="465" spans="1:20" ht="26">
      <c r="A465" s="303"/>
      <c r="B465" s="34" t="s">
        <v>129</v>
      </c>
      <c r="C465" s="35" t="s">
        <v>576</v>
      </c>
      <c r="D465" s="36" t="s">
        <v>25</v>
      </c>
      <c r="E465" s="36" t="s">
        <v>581</v>
      </c>
      <c r="F465" s="231" t="s">
        <v>149</v>
      </c>
      <c r="G465" s="36" t="s">
        <v>582</v>
      </c>
      <c r="H465" s="35"/>
      <c r="I465" s="35" t="s">
        <v>132</v>
      </c>
      <c r="J465" s="35"/>
      <c r="K465" s="233">
        <v>30</v>
      </c>
      <c r="L465" s="233">
        <v>30</v>
      </c>
      <c r="M465" s="160">
        <v>1</v>
      </c>
      <c r="N465" s="191"/>
      <c r="O465" s="190">
        <f t="shared" si="58"/>
        <v>30</v>
      </c>
      <c r="P465" s="191"/>
      <c r="Q465" s="190">
        <f t="shared" si="59"/>
        <v>30</v>
      </c>
      <c r="R465" s="191"/>
      <c r="S465" s="190">
        <f t="shared" si="285"/>
        <v>30</v>
      </c>
      <c r="T465" s="44"/>
    </row>
    <row r="466" spans="1:20" ht="26">
      <c r="A466" s="303"/>
      <c r="B466" s="34" t="s">
        <v>129</v>
      </c>
      <c r="C466" s="35" t="s">
        <v>583</v>
      </c>
      <c r="D466" s="36" t="s">
        <v>26</v>
      </c>
      <c r="E466" s="36" t="s">
        <v>583</v>
      </c>
      <c r="F466" s="231" t="s">
        <v>149</v>
      </c>
      <c r="G466" s="36"/>
      <c r="H466" s="35"/>
      <c r="I466" s="35" t="s">
        <v>132</v>
      </c>
      <c r="J466" s="35"/>
      <c r="K466" s="233">
        <v>15</v>
      </c>
      <c r="L466" s="233">
        <v>15</v>
      </c>
      <c r="M466" s="160">
        <v>3.5</v>
      </c>
      <c r="N466" s="191"/>
      <c r="O466" s="190">
        <f t="shared" si="58"/>
        <v>52.5</v>
      </c>
      <c r="P466" s="191"/>
      <c r="Q466" s="190">
        <f t="shared" si="59"/>
        <v>52.5</v>
      </c>
      <c r="R466" s="191"/>
      <c r="S466" s="190">
        <f t="shared" si="285"/>
        <v>52.5</v>
      </c>
      <c r="T466" s="44"/>
    </row>
    <row r="467" spans="1:20" ht="26">
      <c r="A467" s="303"/>
      <c r="B467" s="34" t="s">
        <v>129</v>
      </c>
      <c r="C467" s="35" t="s">
        <v>583</v>
      </c>
      <c r="D467" s="36" t="s">
        <v>24</v>
      </c>
      <c r="E467" s="36" t="s">
        <v>584</v>
      </c>
      <c r="F467" s="231" t="s">
        <v>149</v>
      </c>
      <c r="G467" s="36"/>
      <c r="H467" s="35"/>
      <c r="I467" s="35" t="s">
        <v>132</v>
      </c>
      <c r="J467" s="35"/>
      <c r="K467" s="233">
        <v>20</v>
      </c>
      <c r="L467" s="233">
        <v>20</v>
      </c>
      <c r="M467" s="160">
        <v>8</v>
      </c>
      <c r="N467" s="191"/>
      <c r="O467" s="190">
        <f t="shared" si="58"/>
        <v>160</v>
      </c>
      <c r="P467" s="191"/>
      <c r="Q467" s="190">
        <f t="shared" si="59"/>
        <v>160</v>
      </c>
      <c r="R467" s="191"/>
      <c r="S467" s="190">
        <f t="shared" si="285"/>
        <v>160</v>
      </c>
      <c r="T467" s="44"/>
    </row>
    <row r="468" spans="1:20" ht="26">
      <c r="A468" s="303"/>
      <c r="B468" s="34" t="s">
        <v>129</v>
      </c>
      <c r="C468" s="35" t="s">
        <v>583</v>
      </c>
      <c r="D468" s="36" t="s">
        <v>25</v>
      </c>
      <c r="E468" s="36" t="s">
        <v>585</v>
      </c>
      <c r="F468" s="231" t="s">
        <v>149</v>
      </c>
      <c r="G468" s="36"/>
      <c r="H468" s="35"/>
      <c r="I468" s="35" t="s">
        <v>132</v>
      </c>
      <c r="J468" s="35"/>
      <c r="K468" s="233">
        <v>20</v>
      </c>
      <c r="L468" s="233">
        <v>20</v>
      </c>
      <c r="M468" s="160">
        <v>3</v>
      </c>
      <c r="N468" s="191"/>
      <c r="O468" s="190">
        <f t="shared" si="58"/>
        <v>60</v>
      </c>
      <c r="P468" s="191"/>
      <c r="Q468" s="190">
        <f t="shared" si="59"/>
        <v>60</v>
      </c>
      <c r="R468" s="191"/>
      <c r="S468" s="190">
        <f t="shared" si="285"/>
        <v>60</v>
      </c>
      <c r="T468" s="44"/>
    </row>
    <row r="469" spans="1:20" ht="26">
      <c r="A469" s="303"/>
      <c r="B469" s="34" t="s">
        <v>129</v>
      </c>
      <c r="C469" s="35" t="s">
        <v>586</v>
      </c>
      <c r="D469" s="36" t="s">
        <v>26</v>
      </c>
      <c r="E469" s="36" t="s">
        <v>587</v>
      </c>
      <c r="F469" s="231" t="s">
        <v>149</v>
      </c>
      <c r="G469" s="36" t="s">
        <v>588</v>
      </c>
      <c r="H469" s="35"/>
      <c r="I469" s="35" t="s">
        <v>132</v>
      </c>
      <c r="J469" s="35"/>
      <c r="K469" s="233">
        <v>20</v>
      </c>
      <c r="L469" s="233">
        <v>20</v>
      </c>
      <c r="M469" s="160">
        <v>1</v>
      </c>
      <c r="N469" s="191"/>
      <c r="O469" s="190">
        <f t="shared" si="58"/>
        <v>20</v>
      </c>
      <c r="P469" s="191"/>
      <c r="Q469" s="190">
        <f t="shared" ref="Q469:Q472" si="286">IF(AND($I469="In",ISNUMBER($L469)),$M469*$L469,"")</f>
        <v>20</v>
      </c>
      <c r="R469" s="191"/>
      <c r="S469" s="190">
        <f t="shared" ref="S469:S471" si="287">IF(AND(ISNUMBER(O469),ISNUMBER(Q469)),ROUND((O469+Q469)/2, 1),"")</f>
        <v>20</v>
      </c>
      <c r="T469" s="44"/>
    </row>
    <row r="470" spans="1:20" ht="26">
      <c r="A470" s="303"/>
      <c r="B470" s="34" t="s">
        <v>129</v>
      </c>
      <c r="C470" s="35" t="s">
        <v>586</v>
      </c>
      <c r="D470" s="36" t="s">
        <v>24</v>
      </c>
      <c r="E470" s="36" t="s">
        <v>589</v>
      </c>
      <c r="F470" s="231" t="s">
        <v>149</v>
      </c>
      <c r="G470" s="36" t="s">
        <v>590</v>
      </c>
      <c r="H470" s="35"/>
      <c r="I470" s="35" t="s">
        <v>132</v>
      </c>
      <c r="J470" s="35"/>
      <c r="K470" s="233">
        <v>20</v>
      </c>
      <c r="L470" s="233">
        <v>20</v>
      </c>
      <c r="M470" s="160">
        <v>2</v>
      </c>
      <c r="N470" s="191"/>
      <c r="O470" s="190">
        <f t="shared" ref="O470:O472" si="288">IF(AND($I470="In",ISNUMBER($K470)),$M470*$K470,"")</f>
        <v>40</v>
      </c>
      <c r="P470" s="191"/>
      <c r="Q470" s="190">
        <f t="shared" si="286"/>
        <v>40</v>
      </c>
      <c r="R470" s="191"/>
      <c r="S470" s="190">
        <f t="shared" si="287"/>
        <v>40</v>
      </c>
      <c r="T470" s="44"/>
    </row>
    <row r="471" spans="1:20" ht="26">
      <c r="A471" s="303"/>
      <c r="B471" s="34" t="s">
        <v>129</v>
      </c>
      <c r="C471" s="35" t="s">
        <v>586</v>
      </c>
      <c r="D471" s="36" t="s">
        <v>25</v>
      </c>
      <c r="E471" s="36" t="s">
        <v>591</v>
      </c>
      <c r="F471" s="231" t="s">
        <v>149</v>
      </c>
      <c r="G471" s="36" t="s">
        <v>588</v>
      </c>
      <c r="H471" s="35"/>
      <c r="I471" s="35" t="s">
        <v>132</v>
      </c>
      <c r="J471" s="35"/>
      <c r="K471" s="233">
        <v>20</v>
      </c>
      <c r="L471" s="233">
        <v>20</v>
      </c>
      <c r="M471" s="160">
        <v>1</v>
      </c>
      <c r="N471" s="191"/>
      <c r="O471" s="190">
        <f t="shared" si="288"/>
        <v>20</v>
      </c>
      <c r="P471" s="191"/>
      <c r="Q471" s="190">
        <f t="shared" si="286"/>
        <v>20</v>
      </c>
      <c r="R471" s="191"/>
      <c r="S471" s="190">
        <f t="shared" si="287"/>
        <v>20</v>
      </c>
      <c r="T471" s="44"/>
    </row>
    <row r="472" spans="1:20" ht="26">
      <c r="A472" s="303"/>
      <c r="B472" s="34" t="s">
        <v>129</v>
      </c>
      <c r="C472" s="35" t="s">
        <v>586</v>
      </c>
      <c r="D472" s="36" t="s">
        <v>24</v>
      </c>
      <c r="E472" s="36" t="s">
        <v>589</v>
      </c>
      <c r="F472" s="231" t="s">
        <v>149</v>
      </c>
      <c r="G472" s="36" t="s">
        <v>592</v>
      </c>
      <c r="H472" s="35"/>
      <c r="I472" s="35" t="s">
        <v>132</v>
      </c>
      <c r="J472" s="35"/>
      <c r="K472" s="233">
        <v>20</v>
      </c>
      <c r="L472" s="233">
        <v>20</v>
      </c>
      <c r="M472" s="160">
        <v>2.5</v>
      </c>
      <c r="N472" s="191"/>
      <c r="O472" s="190">
        <f t="shared" si="288"/>
        <v>50</v>
      </c>
      <c r="P472" s="191"/>
      <c r="Q472" s="190">
        <f t="shared" si="286"/>
        <v>50</v>
      </c>
      <c r="R472" s="191"/>
      <c r="S472" s="190">
        <f t="shared" ref="S472" si="289">IF(AND(ISNUMBER(O472),ISNUMBER(Q472)),ROUND((O472+Q472)/2, 1),"")</f>
        <v>50</v>
      </c>
      <c r="T472" s="44"/>
    </row>
    <row r="473" spans="1:20" ht="26">
      <c r="A473" s="303"/>
      <c r="B473" s="34" t="s">
        <v>129</v>
      </c>
      <c r="C473" s="35" t="s">
        <v>27</v>
      </c>
      <c r="D473" s="36" t="s">
        <v>24</v>
      </c>
      <c r="E473" s="36" t="s">
        <v>593</v>
      </c>
      <c r="F473" s="231" t="s">
        <v>149</v>
      </c>
      <c r="G473" s="36"/>
      <c r="H473" s="35"/>
      <c r="I473" s="35" t="s">
        <v>132</v>
      </c>
      <c r="J473" s="35"/>
      <c r="K473" s="159">
        <v>10</v>
      </c>
      <c r="L473" s="159">
        <v>14</v>
      </c>
      <c r="M473" s="160">
        <v>7</v>
      </c>
      <c r="N473" s="191"/>
      <c r="O473" s="190">
        <f t="shared" si="58"/>
        <v>70</v>
      </c>
      <c r="P473" s="191"/>
      <c r="Q473" s="190">
        <f t="shared" si="59"/>
        <v>98</v>
      </c>
      <c r="R473" s="191"/>
      <c r="S473" s="190">
        <f t="shared" si="285"/>
        <v>84</v>
      </c>
      <c r="T473" s="44"/>
    </row>
    <row r="474" spans="1:20" ht="39">
      <c r="A474" s="303"/>
      <c r="B474" s="34" t="s">
        <v>129</v>
      </c>
      <c r="C474" s="35" t="s">
        <v>594</v>
      </c>
      <c r="D474" s="36" t="s">
        <v>24</v>
      </c>
      <c r="E474" s="36" t="s">
        <v>595</v>
      </c>
      <c r="F474" s="231" t="s">
        <v>149</v>
      </c>
      <c r="G474" s="36"/>
      <c r="H474" s="35"/>
      <c r="I474" s="35" t="s">
        <v>132</v>
      </c>
      <c r="J474" s="35"/>
      <c r="K474" s="159">
        <v>30</v>
      </c>
      <c r="L474" s="159">
        <v>40</v>
      </c>
      <c r="M474" s="160">
        <v>1</v>
      </c>
      <c r="N474" s="191"/>
      <c r="O474" s="190">
        <f t="shared" ref="O474:O475" si="290">IF(AND($I474="In",ISNUMBER($K474)),$M474*$K474,"")</f>
        <v>30</v>
      </c>
      <c r="P474" s="191"/>
      <c r="Q474" s="190">
        <f t="shared" ref="Q474:Q475" si="291">IF(AND($I474="In",ISNUMBER($L474)),$M474*$L474,"")</f>
        <v>40</v>
      </c>
      <c r="R474" s="191"/>
      <c r="S474" s="190">
        <f t="shared" ref="S474" si="292">IF(AND(ISNUMBER(O474),ISNUMBER(Q474)),ROUND((O474+Q474)/2, 1),"")</f>
        <v>35</v>
      </c>
      <c r="T474" s="44"/>
    </row>
    <row r="475" spans="1:20" ht="26">
      <c r="A475" s="303"/>
      <c r="B475" s="34" t="s">
        <v>129</v>
      </c>
      <c r="C475" s="35" t="s">
        <v>594</v>
      </c>
      <c r="D475" s="36" t="s">
        <v>24</v>
      </c>
      <c r="E475" s="36" t="s">
        <v>596</v>
      </c>
      <c r="F475" s="231" t="s">
        <v>149</v>
      </c>
      <c r="G475" s="36"/>
      <c r="H475" s="35"/>
      <c r="I475" s="35" t="s">
        <v>132</v>
      </c>
      <c r="J475" s="35"/>
      <c r="K475" s="159">
        <v>7</v>
      </c>
      <c r="L475" s="159">
        <v>10</v>
      </c>
      <c r="M475" s="160">
        <v>0</v>
      </c>
      <c r="N475" s="191"/>
      <c r="O475" s="190">
        <f t="shared" si="290"/>
        <v>0</v>
      </c>
      <c r="P475" s="191"/>
      <c r="Q475" s="190">
        <f t="shared" si="291"/>
        <v>0</v>
      </c>
      <c r="R475" s="191"/>
      <c r="S475" s="190">
        <f t="shared" ref="S475" si="293">IF(AND(ISNUMBER(O475),ISNUMBER(Q475)),ROUND((O475+Q475)/2, 1),"")</f>
        <v>0</v>
      </c>
      <c r="T475" s="44" t="s">
        <v>597</v>
      </c>
    </row>
    <row r="476" spans="1:20" ht="26">
      <c r="A476" s="304"/>
      <c r="B476" s="304"/>
      <c r="C476" s="35" t="s">
        <v>35</v>
      </c>
      <c r="D476" s="36" t="s">
        <v>35</v>
      </c>
      <c r="E476" s="36" t="s">
        <v>598</v>
      </c>
      <c r="F476" s="231" t="s">
        <v>135</v>
      </c>
      <c r="G476" s="36"/>
      <c r="H476" s="35"/>
      <c r="I476" s="35" t="s">
        <v>132</v>
      </c>
      <c r="J476" s="35"/>
      <c r="K476" s="159">
        <v>20</v>
      </c>
      <c r="L476" s="159">
        <v>20</v>
      </c>
      <c r="M476" s="160">
        <v>1</v>
      </c>
      <c r="N476" s="191"/>
      <c r="O476" s="190">
        <f t="shared" si="58"/>
        <v>20</v>
      </c>
      <c r="P476" s="191"/>
      <c r="Q476" s="190">
        <f t="shared" si="59"/>
        <v>20</v>
      </c>
      <c r="R476" s="191"/>
      <c r="S476" s="190">
        <f t="shared" si="285"/>
        <v>20</v>
      </c>
      <c r="T476" s="44"/>
    </row>
    <row r="477" spans="1:20">
      <c r="A477" s="304"/>
      <c r="B477" s="304"/>
      <c r="C477" s="35" t="s">
        <v>37</v>
      </c>
      <c r="D477" s="36" t="s">
        <v>37</v>
      </c>
      <c r="E477" s="36" t="s">
        <v>599</v>
      </c>
      <c r="F477" s="231" t="s">
        <v>135</v>
      </c>
      <c r="G477" s="36"/>
      <c r="H477" s="35"/>
      <c r="I477" s="35" t="s">
        <v>132</v>
      </c>
      <c r="J477" s="35"/>
      <c r="K477" s="159">
        <v>10</v>
      </c>
      <c r="L477" s="159">
        <v>10</v>
      </c>
      <c r="M477" s="160">
        <v>1</v>
      </c>
      <c r="N477" s="191"/>
      <c r="O477" s="190">
        <f t="shared" ref="O477:O480" si="294">IF(AND($I477="In",ISNUMBER($K477)),$M477*$K477,"")</f>
        <v>10</v>
      </c>
      <c r="P477" s="191"/>
      <c r="Q477" s="190">
        <f t="shared" ref="Q477:Q480" si="295">IF(AND($I477="In",ISNUMBER($L477)),$M477*$L477,"")</f>
        <v>10</v>
      </c>
      <c r="R477" s="191"/>
      <c r="S477" s="190">
        <f t="shared" ref="S477:S479" si="296">IF(AND(ISNUMBER(O477),ISNUMBER(Q477)),ROUND((O477+Q477)/2, 1),"")</f>
        <v>10</v>
      </c>
      <c r="T477" s="44"/>
    </row>
    <row r="478" spans="1:20" ht="26">
      <c r="A478" s="304"/>
      <c r="B478" s="304"/>
      <c r="C478" s="35" t="s">
        <v>37</v>
      </c>
      <c r="D478" s="36" t="s">
        <v>37</v>
      </c>
      <c r="E478" s="36" t="s">
        <v>599</v>
      </c>
      <c r="F478" s="231" t="s">
        <v>149</v>
      </c>
      <c r="G478" s="36"/>
      <c r="H478" s="35"/>
      <c r="I478" s="35" t="s">
        <v>132</v>
      </c>
      <c r="J478" s="35"/>
      <c r="K478" s="159">
        <v>10</v>
      </c>
      <c r="L478" s="159">
        <v>20</v>
      </c>
      <c r="M478" s="160">
        <v>1</v>
      </c>
      <c r="N478" s="191"/>
      <c r="O478" s="190">
        <f t="shared" si="294"/>
        <v>10</v>
      </c>
      <c r="P478" s="191"/>
      <c r="Q478" s="190">
        <f t="shared" si="295"/>
        <v>20</v>
      </c>
      <c r="R478" s="191"/>
      <c r="S478" s="190">
        <f t="shared" ref="S478" si="297">IF(AND(ISNUMBER(O478),ISNUMBER(Q478)),ROUND((O478+Q478)/2, 1),"")</f>
        <v>15</v>
      </c>
      <c r="T478" s="44"/>
    </row>
    <row r="479" spans="1:20" ht="26">
      <c r="A479" s="304"/>
      <c r="B479" s="34"/>
      <c r="C479" s="35" t="s">
        <v>36</v>
      </c>
      <c r="D479" s="36" t="s">
        <v>36</v>
      </c>
      <c r="E479" s="36" t="s">
        <v>600</v>
      </c>
      <c r="F479" s="231" t="s">
        <v>149</v>
      </c>
      <c r="G479" s="36"/>
      <c r="H479" s="35"/>
      <c r="I479" s="35" t="s">
        <v>132</v>
      </c>
      <c r="J479" s="35"/>
      <c r="K479" s="159">
        <v>15</v>
      </c>
      <c r="L479" s="159">
        <v>15</v>
      </c>
      <c r="M479" s="160">
        <v>1</v>
      </c>
      <c r="N479" s="191"/>
      <c r="O479" s="190">
        <f t="shared" si="294"/>
        <v>15</v>
      </c>
      <c r="P479" s="191"/>
      <c r="Q479" s="190">
        <f t="shared" si="295"/>
        <v>15</v>
      </c>
      <c r="R479" s="191"/>
      <c r="S479" s="190">
        <f t="shared" si="296"/>
        <v>15</v>
      </c>
      <c r="T479" s="44"/>
    </row>
    <row r="480" spans="1:20">
      <c r="A480" s="304"/>
      <c r="B480" s="304"/>
      <c r="C480" s="35" t="s">
        <v>36</v>
      </c>
      <c r="D480" s="36" t="s">
        <v>36</v>
      </c>
      <c r="E480" s="36" t="s">
        <v>600</v>
      </c>
      <c r="F480" s="231" t="s">
        <v>135</v>
      </c>
      <c r="G480" s="36"/>
      <c r="H480" s="35"/>
      <c r="I480" s="35" t="s">
        <v>132</v>
      </c>
      <c r="J480" s="35"/>
      <c r="K480" s="159">
        <v>7.5</v>
      </c>
      <c r="L480" s="159">
        <v>7.5</v>
      </c>
      <c r="M480" s="160">
        <v>2</v>
      </c>
      <c r="N480" s="191"/>
      <c r="O480" s="190">
        <f t="shared" si="294"/>
        <v>15</v>
      </c>
      <c r="P480" s="191"/>
      <c r="Q480" s="190">
        <f t="shared" si="295"/>
        <v>15</v>
      </c>
      <c r="R480" s="191"/>
      <c r="S480" s="190">
        <f t="shared" ref="S480" si="298">IF(AND(ISNUMBER(O480),ISNUMBER(Q480)),ROUND((O480+Q480)/2, 1),"")</f>
        <v>15</v>
      </c>
      <c r="T480" s="44"/>
    </row>
    <row r="481" spans="1:20">
      <c r="A481" s="303"/>
      <c r="B481" s="34"/>
      <c r="C481" s="35" t="s">
        <v>39</v>
      </c>
      <c r="D481" s="36" t="s">
        <v>39</v>
      </c>
      <c r="E481" s="328" t="s">
        <v>601</v>
      </c>
      <c r="F481" s="231" t="s">
        <v>135</v>
      </c>
      <c r="G481" s="36"/>
      <c r="H481" s="35"/>
      <c r="I481" s="35" t="s">
        <v>132</v>
      </c>
      <c r="J481" s="328"/>
      <c r="K481" s="329">
        <v>1</v>
      </c>
      <c r="L481" s="329">
        <v>1</v>
      </c>
      <c r="M481" s="160">
        <v>1</v>
      </c>
      <c r="N481" s="191"/>
      <c r="O481" s="190">
        <f t="shared" ref="O481:O498" si="299">IF(AND($I481="In",ISNUMBER($K481)),$M481*$K481,"")</f>
        <v>1</v>
      </c>
      <c r="P481" s="191"/>
      <c r="Q481" s="190">
        <f t="shared" ref="Q481:Q497" si="300">IF(AND($I481="In",ISNUMBER($L481)),$M481*$L481,"")</f>
        <v>1</v>
      </c>
      <c r="R481" s="191"/>
      <c r="S481" s="190">
        <f t="shared" ref="S481:S498" si="301">IF(AND(ISNUMBER(O481),ISNUMBER(Q481)),ROUND((O481+Q481)/2, 1),"")</f>
        <v>1</v>
      </c>
      <c r="T481" s="44"/>
    </row>
    <row r="482" spans="1:20">
      <c r="A482" s="303"/>
      <c r="B482" s="34"/>
      <c r="C482" s="35" t="s">
        <v>39</v>
      </c>
      <c r="D482" s="36" t="s">
        <v>39</v>
      </c>
      <c r="E482" s="328" t="s">
        <v>602</v>
      </c>
      <c r="F482" s="231" t="s">
        <v>135</v>
      </c>
      <c r="G482" s="36"/>
      <c r="H482" s="35"/>
      <c r="I482" s="35" t="s">
        <v>132</v>
      </c>
      <c r="J482" s="328"/>
      <c r="K482" s="329">
        <v>2</v>
      </c>
      <c r="L482" s="329">
        <v>2</v>
      </c>
      <c r="M482" s="160">
        <v>1</v>
      </c>
      <c r="N482" s="191"/>
      <c r="O482" s="190">
        <f t="shared" si="299"/>
        <v>2</v>
      </c>
      <c r="P482" s="191"/>
      <c r="Q482" s="190">
        <f t="shared" si="300"/>
        <v>2</v>
      </c>
      <c r="R482" s="191"/>
      <c r="S482" s="190">
        <f t="shared" si="301"/>
        <v>2</v>
      </c>
      <c r="T482" s="44"/>
    </row>
    <row r="483" spans="1:20">
      <c r="A483" s="303"/>
      <c r="B483" s="34"/>
      <c r="C483" s="35" t="s">
        <v>39</v>
      </c>
      <c r="D483" s="36" t="s">
        <v>39</v>
      </c>
      <c r="E483" s="328" t="s">
        <v>603</v>
      </c>
      <c r="F483" s="231" t="s">
        <v>135</v>
      </c>
      <c r="G483" s="36"/>
      <c r="H483" s="35"/>
      <c r="I483" s="35" t="s">
        <v>132</v>
      </c>
      <c r="J483" s="328"/>
      <c r="K483" s="329">
        <v>1</v>
      </c>
      <c r="L483" s="329">
        <v>1</v>
      </c>
      <c r="M483" s="160">
        <v>1</v>
      </c>
      <c r="N483" s="191"/>
      <c r="O483" s="190">
        <f t="shared" si="299"/>
        <v>1</v>
      </c>
      <c r="P483" s="191"/>
      <c r="Q483" s="190">
        <f t="shared" si="300"/>
        <v>1</v>
      </c>
      <c r="R483" s="191"/>
      <c r="S483" s="190">
        <f t="shared" si="301"/>
        <v>1</v>
      </c>
      <c r="T483" s="44"/>
    </row>
    <row r="484" spans="1:20">
      <c r="A484" s="303"/>
      <c r="B484" s="34"/>
      <c r="C484" s="35" t="s">
        <v>39</v>
      </c>
      <c r="D484" s="36" t="s">
        <v>39</v>
      </c>
      <c r="E484" s="328" t="s">
        <v>594</v>
      </c>
      <c r="F484" s="231" t="s">
        <v>135</v>
      </c>
      <c r="G484" s="36"/>
      <c r="H484" s="35"/>
      <c r="I484" s="35" t="s">
        <v>132</v>
      </c>
      <c r="J484" s="328"/>
      <c r="K484" s="329">
        <v>5</v>
      </c>
      <c r="L484" s="329">
        <v>5</v>
      </c>
      <c r="M484" s="160">
        <v>1</v>
      </c>
      <c r="N484" s="191"/>
      <c r="O484" s="190">
        <f t="shared" si="299"/>
        <v>5</v>
      </c>
      <c r="P484" s="191"/>
      <c r="Q484" s="190">
        <f t="shared" si="300"/>
        <v>5</v>
      </c>
      <c r="R484" s="191"/>
      <c r="S484" s="190">
        <f t="shared" si="301"/>
        <v>5</v>
      </c>
      <c r="T484" s="44"/>
    </row>
    <row r="485" spans="1:20">
      <c r="A485" s="303"/>
      <c r="B485" s="34"/>
      <c r="C485" s="35" t="s">
        <v>39</v>
      </c>
      <c r="D485" s="36" t="s">
        <v>39</v>
      </c>
      <c r="E485" s="328" t="s">
        <v>604</v>
      </c>
      <c r="F485" s="231" t="s">
        <v>135</v>
      </c>
      <c r="G485" s="36"/>
      <c r="H485" s="35"/>
      <c r="I485" s="35" t="s">
        <v>132</v>
      </c>
      <c r="J485" s="328"/>
      <c r="K485" s="329">
        <v>8</v>
      </c>
      <c r="L485" s="329">
        <v>12</v>
      </c>
      <c r="M485" s="160">
        <v>1</v>
      </c>
      <c r="N485" s="191"/>
      <c r="O485" s="190">
        <f t="shared" si="299"/>
        <v>8</v>
      </c>
      <c r="P485" s="191"/>
      <c r="Q485" s="190">
        <f t="shared" si="300"/>
        <v>12</v>
      </c>
      <c r="R485" s="191"/>
      <c r="S485" s="190">
        <f t="shared" si="301"/>
        <v>10</v>
      </c>
      <c r="T485" s="44"/>
    </row>
    <row r="486" spans="1:20">
      <c r="A486" s="303"/>
      <c r="B486" s="34"/>
      <c r="C486" s="35" t="s">
        <v>39</v>
      </c>
      <c r="D486" s="36" t="s">
        <v>39</v>
      </c>
      <c r="E486" s="328" t="s">
        <v>605</v>
      </c>
      <c r="F486" s="231" t="s">
        <v>135</v>
      </c>
      <c r="G486" s="36"/>
      <c r="H486" s="35"/>
      <c r="I486" s="35" t="s">
        <v>132</v>
      </c>
      <c r="J486" s="330"/>
      <c r="K486" s="329">
        <v>2</v>
      </c>
      <c r="L486" s="329">
        <v>2</v>
      </c>
      <c r="M486" s="160">
        <v>1</v>
      </c>
      <c r="N486" s="191"/>
      <c r="O486" s="190">
        <f t="shared" si="299"/>
        <v>2</v>
      </c>
      <c r="P486" s="191"/>
      <c r="Q486" s="190">
        <f t="shared" si="300"/>
        <v>2</v>
      </c>
      <c r="R486" s="191"/>
      <c r="S486" s="190">
        <f t="shared" si="301"/>
        <v>2</v>
      </c>
      <c r="T486" s="44"/>
    </row>
    <row r="487" spans="1:20" ht="26">
      <c r="A487" s="303"/>
      <c r="B487" s="34"/>
      <c r="C487" s="35" t="s">
        <v>39</v>
      </c>
      <c r="D487" s="36" t="s">
        <v>39</v>
      </c>
      <c r="E487" s="328" t="s">
        <v>606</v>
      </c>
      <c r="F487" s="231" t="s">
        <v>149</v>
      </c>
      <c r="G487" s="36"/>
      <c r="H487" s="35"/>
      <c r="I487" s="35" t="s">
        <v>132</v>
      </c>
      <c r="J487" s="35"/>
      <c r="K487" s="159">
        <v>6</v>
      </c>
      <c r="L487" s="159">
        <v>10</v>
      </c>
      <c r="M487" s="160">
        <v>1</v>
      </c>
      <c r="N487" s="191"/>
      <c r="O487" s="190">
        <f t="shared" si="299"/>
        <v>6</v>
      </c>
      <c r="P487" s="191"/>
      <c r="Q487" s="190">
        <f t="shared" si="300"/>
        <v>10</v>
      </c>
      <c r="R487" s="191"/>
      <c r="S487" s="190">
        <f t="shared" si="301"/>
        <v>8</v>
      </c>
      <c r="T487" s="44"/>
    </row>
    <row r="488" spans="1:20" ht="26">
      <c r="A488" s="303"/>
      <c r="B488" s="34"/>
      <c r="C488" s="35" t="s">
        <v>39</v>
      </c>
      <c r="D488" s="36" t="s">
        <v>39</v>
      </c>
      <c r="E488" s="328" t="s">
        <v>607</v>
      </c>
      <c r="F488" s="231" t="s">
        <v>149</v>
      </c>
      <c r="G488" s="36"/>
      <c r="H488" s="35"/>
      <c r="I488" s="35" t="s">
        <v>132</v>
      </c>
      <c r="J488" s="35"/>
      <c r="K488" s="159">
        <v>2</v>
      </c>
      <c r="L488" s="159">
        <v>2</v>
      </c>
      <c r="M488" s="160">
        <v>1</v>
      </c>
      <c r="N488" s="191"/>
      <c r="O488" s="190">
        <f t="shared" si="299"/>
        <v>2</v>
      </c>
      <c r="P488" s="191"/>
      <c r="Q488" s="190">
        <f t="shared" si="300"/>
        <v>2</v>
      </c>
      <c r="R488" s="191"/>
      <c r="S488" s="190">
        <f t="shared" si="301"/>
        <v>2</v>
      </c>
      <c r="T488" s="44"/>
    </row>
    <row r="489" spans="1:20" ht="26">
      <c r="A489" s="303"/>
      <c r="B489" s="34"/>
      <c r="C489" s="35" t="s">
        <v>39</v>
      </c>
      <c r="D489" s="36" t="s">
        <v>39</v>
      </c>
      <c r="E489" s="328" t="s">
        <v>608</v>
      </c>
      <c r="F489" s="231" t="s">
        <v>149</v>
      </c>
      <c r="G489" s="36"/>
      <c r="H489" s="35"/>
      <c r="I489" s="35" t="s">
        <v>132</v>
      </c>
      <c r="J489" s="35"/>
      <c r="K489" s="159">
        <v>6</v>
      </c>
      <c r="L489" s="159">
        <v>9</v>
      </c>
      <c r="M489" s="160">
        <v>1</v>
      </c>
      <c r="N489" s="191"/>
      <c r="O489" s="190">
        <f t="shared" si="299"/>
        <v>6</v>
      </c>
      <c r="P489" s="191"/>
      <c r="Q489" s="190">
        <f t="shared" si="300"/>
        <v>9</v>
      </c>
      <c r="R489" s="191"/>
      <c r="S489" s="190">
        <f t="shared" si="301"/>
        <v>7.5</v>
      </c>
      <c r="T489" s="44"/>
    </row>
    <row r="490" spans="1:20" ht="26">
      <c r="A490" s="303"/>
      <c r="B490" s="34"/>
      <c r="C490" s="35" t="s">
        <v>39</v>
      </c>
      <c r="D490" s="36" t="s">
        <v>39</v>
      </c>
      <c r="E490" s="328" t="s">
        <v>609</v>
      </c>
      <c r="F490" s="231" t="s">
        <v>149</v>
      </c>
      <c r="G490" s="36"/>
      <c r="H490" s="35"/>
      <c r="I490" s="35" t="s">
        <v>132</v>
      </c>
      <c r="J490" s="35"/>
      <c r="K490" s="159">
        <v>0.16250000000000001</v>
      </c>
      <c r="L490" s="159">
        <v>0.24379999999999999</v>
      </c>
      <c r="M490" s="160">
        <v>200</v>
      </c>
      <c r="N490" s="191"/>
      <c r="O490" s="190">
        <f t="shared" si="299"/>
        <v>32.5</v>
      </c>
      <c r="P490" s="191"/>
      <c r="Q490" s="190">
        <f>IF(AND($I490="In",ISNUMBER($L490)),$M490*$L490,"")</f>
        <v>48.76</v>
      </c>
      <c r="R490" s="191"/>
      <c r="S490" s="190">
        <f t="shared" si="301"/>
        <v>40.6</v>
      </c>
      <c r="T490" s="44"/>
    </row>
    <row r="491" spans="1:20" ht="26">
      <c r="A491" s="303"/>
      <c r="B491" s="34"/>
      <c r="C491" s="35" t="s">
        <v>39</v>
      </c>
      <c r="D491" s="36" t="s">
        <v>39</v>
      </c>
      <c r="E491" s="328" t="s">
        <v>609</v>
      </c>
      <c r="F491" s="231" t="s">
        <v>149</v>
      </c>
      <c r="G491" s="36"/>
      <c r="H491" s="35"/>
      <c r="I491" s="35" t="s">
        <v>132</v>
      </c>
      <c r="J491" s="35"/>
      <c r="K491" s="159">
        <v>0.16250000000000001</v>
      </c>
      <c r="L491" s="159">
        <v>0.24379999999999999</v>
      </c>
      <c r="M491" s="160">
        <v>100</v>
      </c>
      <c r="N491" s="191"/>
      <c r="O491" s="190">
        <f>IF(AND($I491="In",ISNUMBER($K491)),$M491*$K491,"")</f>
        <v>16.25</v>
      </c>
      <c r="P491" s="191"/>
      <c r="Q491" s="190">
        <f>IF(AND($I491="In",ISNUMBER($L491)),$M491*$L491,"")</f>
        <v>24.38</v>
      </c>
      <c r="R491" s="191"/>
      <c r="S491" s="190">
        <f t="shared" si="301"/>
        <v>20.3</v>
      </c>
      <c r="T491" s="44"/>
    </row>
    <row r="492" spans="1:20" ht="26">
      <c r="A492" s="303"/>
      <c r="B492" s="34"/>
      <c r="C492" s="35" t="s">
        <v>39</v>
      </c>
      <c r="D492" s="36" t="s">
        <v>39</v>
      </c>
      <c r="E492" s="328" t="s">
        <v>609</v>
      </c>
      <c r="F492" s="231" t="s">
        <v>149</v>
      </c>
      <c r="G492" s="36"/>
      <c r="H492" s="35"/>
      <c r="I492" s="35" t="s">
        <v>132</v>
      </c>
      <c r="J492" s="35"/>
      <c r="K492" s="159">
        <v>0.30630000000000002</v>
      </c>
      <c r="L492" s="159">
        <v>0.45939999999999998</v>
      </c>
      <c r="M492" s="160">
        <v>50</v>
      </c>
      <c r="N492" s="191"/>
      <c r="O492" s="190">
        <f t="shared" si="299"/>
        <v>15.315000000000001</v>
      </c>
      <c r="P492" s="191"/>
      <c r="Q492" s="190">
        <f>IF(AND($I492="In",ISNUMBER($L492)),$M492*$L492,"")</f>
        <v>22.97</v>
      </c>
      <c r="R492" s="191"/>
      <c r="S492" s="190">
        <f t="shared" si="301"/>
        <v>19.100000000000001</v>
      </c>
      <c r="T492" s="44"/>
    </row>
    <row r="493" spans="1:20" ht="26">
      <c r="A493" s="303"/>
      <c r="B493" s="34"/>
      <c r="C493" s="35" t="s">
        <v>39</v>
      </c>
      <c r="D493" s="36" t="s">
        <v>39</v>
      </c>
      <c r="E493" s="328" t="s">
        <v>610</v>
      </c>
      <c r="F493" s="231" t="s">
        <v>149</v>
      </c>
      <c r="G493" s="36"/>
      <c r="H493" s="35"/>
      <c r="I493" s="35" t="s">
        <v>132</v>
      </c>
      <c r="J493" s="35"/>
      <c r="K493" s="159">
        <v>3.1300000000000001E-2</v>
      </c>
      <c r="L493" s="159">
        <v>6.25E-2</v>
      </c>
      <c r="M493" s="160">
        <v>350</v>
      </c>
      <c r="N493" s="191"/>
      <c r="O493" s="190">
        <f t="shared" si="299"/>
        <v>10.955</v>
      </c>
      <c r="P493" s="191"/>
      <c r="Q493" s="190">
        <f t="shared" si="300"/>
        <v>21.875</v>
      </c>
      <c r="R493" s="191"/>
      <c r="S493" s="190">
        <f t="shared" si="301"/>
        <v>16.399999999999999</v>
      </c>
      <c r="T493" s="44"/>
    </row>
    <row r="494" spans="1:20" ht="26">
      <c r="A494" s="303"/>
      <c r="B494" s="34"/>
      <c r="C494" s="35" t="s">
        <v>39</v>
      </c>
      <c r="D494" s="36" t="s">
        <v>39</v>
      </c>
      <c r="E494" s="328" t="s">
        <v>611</v>
      </c>
      <c r="F494" s="231" t="s">
        <v>149</v>
      </c>
      <c r="G494" s="36"/>
      <c r="H494" s="35"/>
      <c r="I494" s="35" t="s">
        <v>132</v>
      </c>
      <c r="J494" s="35"/>
      <c r="K494" s="159">
        <v>3</v>
      </c>
      <c r="L494" s="159">
        <v>3</v>
      </c>
      <c r="M494" s="160">
        <v>1</v>
      </c>
      <c r="N494" s="191"/>
      <c r="O494" s="190">
        <f t="shared" si="299"/>
        <v>3</v>
      </c>
      <c r="P494" s="191"/>
      <c r="Q494" s="190">
        <f t="shared" si="300"/>
        <v>3</v>
      </c>
      <c r="R494" s="191"/>
      <c r="S494" s="190">
        <f t="shared" si="301"/>
        <v>3</v>
      </c>
      <c r="T494" s="44"/>
    </row>
    <row r="495" spans="1:20" ht="26">
      <c r="A495" s="303"/>
      <c r="B495" s="34"/>
      <c r="C495" s="35" t="s">
        <v>39</v>
      </c>
      <c r="D495" s="36" t="s">
        <v>39</v>
      </c>
      <c r="E495" s="328" t="s">
        <v>612</v>
      </c>
      <c r="F495" s="231" t="s">
        <v>149</v>
      </c>
      <c r="G495" s="36"/>
      <c r="H495" s="35"/>
      <c r="I495" s="35" t="s">
        <v>132</v>
      </c>
      <c r="J495" s="35"/>
      <c r="K495" s="159">
        <v>6.3E-3</v>
      </c>
      <c r="L495" s="159">
        <v>9.4000000000000004E-3</v>
      </c>
      <c r="M495" s="160">
        <v>900</v>
      </c>
      <c r="N495" s="191"/>
      <c r="O495" s="190">
        <f t="shared" si="299"/>
        <v>5.67</v>
      </c>
      <c r="P495" s="191"/>
      <c r="Q495" s="190">
        <f t="shared" si="300"/>
        <v>8.4600000000000009</v>
      </c>
      <c r="R495" s="191"/>
      <c r="S495" s="190">
        <f t="shared" si="301"/>
        <v>7.1</v>
      </c>
      <c r="T495" s="44"/>
    </row>
    <row r="496" spans="1:20" ht="26">
      <c r="A496" s="303"/>
      <c r="B496" s="34"/>
      <c r="C496" s="35" t="s">
        <v>39</v>
      </c>
      <c r="D496" s="36" t="s">
        <v>39</v>
      </c>
      <c r="E496" s="328" t="s">
        <v>612</v>
      </c>
      <c r="F496" s="231" t="s">
        <v>149</v>
      </c>
      <c r="G496" s="36"/>
      <c r="H496" s="35"/>
      <c r="I496" s="35" t="s">
        <v>132</v>
      </c>
      <c r="J496" s="35"/>
      <c r="K496" s="159">
        <v>6.3E-3</v>
      </c>
      <c r="L496" s="159">
        <v>9.4000000000000004E-3</v>
      </c>
      <c r="M496" s="160">
        <v>450</v>
      </c>
      <c r="N496" s="191"/>
      <c r="O496" s="190">
        <f t="shared" si="299"/>
        <v>2.835</v>
      </c>
      <c r="P496" s="191"/>
      <c r="Q496" s="190">
        <f t="shared" si="300"/>
        <v>4.2300000000000004</v>
      </c>
      <c r="R496" s="191"/>
      <c r="S496" s="190">
        <f t="shared" si="301"/>
        <v>3.5</v>
      </c>
      <c r="T496" s="44"/>
    </row>
    <row r="497" spans="1:20" ht="26">
      <c r="A497" s="303"/>
      <c r="B497" s="34"/>
      <c r="C497" s="35" t="s">
        <v>39</v>
      </c>
      <c r="D497" s="36" t="s">
        <v>39</v>
      </c>
      <c r="E497" s="328" t="s">
        <v>612</v>
      </c>
      <c r="F497" s="231" t="s">
        <v>149</v>
      </c>
      <c r="G497" s="36"/>
      <c r="H497" s="35"/>
      <c r="I497" s="35" t="s">
        <v>132</v>
      </c>
      <c r="J497" s="35"/>
      <c r="K497" s="159">
        <v>1.2500000000000001E-2</v>
      </c>
      <c r="L497" s="159">
        <v>1.8800000000000001E-2</v>
      </c>
      <c r="M497" s="160">
        <v>300</v>
      </c>
      <c r="N497" s="191"/>
      <c r="O497" s="190">
        <f t="shared" si="299"/>
        <v>3.75</v>
      </c>
      <c r="P497" s="191"/>
      <c r="Q497" s="190">
        <f t="shared" si="300"/>
        <v>5.6400000000000006</v>
      </c>
      <c r="R497" s="191"/>
      <c r="S497" s="190">
        <f t="shared" si="301"/>
        <v>4.7</v>
      </c>
      <c r="T497" s="44"/>
    </row>
    <row r="498" spans="1:20" ht="26">
      <c r="A498" s="303"/>
      <c r="B498" s="34"/>
      <c r="C498" s="35" t="s">
        <v>39</v>
      </c>
      <c r="D498" s="36" t="s">
        <v>39</v>
      </c>
      <c r="E498" s="328" t="s">
        <v>613</v>
      </c>
      <c r="F498" s="231" t="s">
        <v>149</v>
      </c>
      <c r="G498" s="36"/>
      <c r="H498" s="35"/>
      <c r="I498" s="35" t="s">
        <v>132</v>
      </c>
      <c r="J498" s="35"/>
      <c r="K498" s="159">
        <v>2</v>
      </c>
      <c r="L498" s="159">
        <v>2</v>
      </c>
      <c r="M498" s="160">
        <v>3</v>
      </c>
      <c r="N498" s="191"/>
      <c r="O498" s="190">
        <f t="shared" si="299"/>
        <v>6</v>
      </c>
      <c r="P498" s="191"/>
      <c r="Q498" s="190">
        <f>IF(AND($I498="In",ISNUMBER($L498)),$M498*$L498,"")</f>
        <v>6</v>
      </c>
      <c r="R498" s="191"/>
      <c r="S498" s="190">
        <f t="shared" si="301"/>
        <v>6</v>
      </c>
      <c r="T498" s="44"/>
    </row>
    <row r="499" spans="1:20" ht="26">
      <c r="A499" s="23"/>
      <c r="B499" s="34"/>
      <c r="C499" s="35" t="s">
        <v>27</v>
      </c>
      <c r="D499" s="36" t="s">
        <v>31</v>
      </c>
      <c r="E499" s="328" t="s">
        <v>614</v>
      </c>
      <c r="F499" s="231" t="s">
        <v>149</v>
      </c>
      <c r="G499" s="36"/>
      <c r="H499" s="35"/>
      <c r="I499" s="35" t="s">
        <v>137</v>
      </c>
      <c r="J499" s="328"/>
      <c r="K499" s="329">
        <v>4</v>
      </c>
      <c r="L499" s="329">
        <v>6.25</v>
      </c>
      <c r="M499" s="160">
        <v>1</v>
      </c>
      <c r="N499" s="191"/>
      <c r="O499" s="190" t="str">
        <f t="shared" si="58"/>
        <v/>
      </c>
      <c r="P499" s="191"/>
      <c r="Q499" s="190" t="str">
        <f t="shared" si="59"/>
        <v/>
      </c>
      <c r="R499" s="191"/>
      <c r="S499" s="190" t="str">
        <f t="shared" si="285"/>
        <v/>
      </c>
      <c r="T499" s="44"/>
    </row>
    <row r="500" spans="1:20" ht="26">
      <c r="A500" s="23"/>
      <c r="B500" s="34"/>
      <c r="C500" s="35" t="s">
        <v>27</v>
      </c>
      <c r="D500" s="36" t="s">
        <v>31</v>
      </c>
      <c r="E500" s="328" t="s">
        <v>615</v>
      </c>
      <c r="F500" s="231" t="s">
        <v>149</v>
      </c>
      <c r="G500" s="36"/>
      <c r="H500" s="35"/>
      <c r="I500" s="35" t="s">
        <v>137</v>
      </c>
      <c r="J500" s="328"/>
      <c r="K500" s="329">
        <v>9.35</v>
      </c>
      <c r="L500" s="329">
        <v>15.15</v>
      </c>
      <c r="M500" s="160">
        <v>1</v>
      </c>
      <c r="N500" s="191"/>
      <c r="O500" s="190" t="str">
        <f t="shared" si="58"/>
        <v/>
      </c>
      <c r="P500" s="191"/>
      <c r="Q500" s="190" t="str">
        <f t="shared" si="59"/>
        <v/>
      </c>
      <c r="R500" s="191"/>
      <c r="S500" s="190" t="str">
        <f t="shared" si="285"/>
        <v/>
      </c>
      <c r="T500" s="44"/>
    </row>
    <row r="501" spans="1:20" ht="26">
      <c r="A501" s="23"/>
      <c r="B501" s="34"/>
      <c r="C501" s="35" t="s">
        <v>27</v>
      </c>
      <c r="D501" s="36" t="s">
        <v>31</v>
      </c>
      <c r="E501" s="330" t="s">
        <v>616</v>
      </c>
      <c r="F501" s="231" t="s">
        <v>149</v>
      </c>
      <c r="G501" s="36"/>
      <c r="H501" s="35"/>
      <c r="I501" s="35" t="s">
        <v>137</v>
      </c>
      <c r="J501" s="328"/>
      <c r="K501" s="329">
        <v>9.85</v>
      </c>
      <c r="L501" s="329">
        <v>15.4</v>
      </c>
      <c r="M501" s="160">
        <v>1</v>
      </c>
      <c r="N501" s="191"/>
      <c r="O501" s="190" t="str">
        <f t="shared" si="58"/>
        <v/>
      </c>
      <c r="P501" s="191"/>
      <c r="Q501" s="190" t="str">
        <f t="shared" si="59"/>
        <v/>
      </c>
      <c r="R501" s="191"/>
      <c r="S501" s="190" t="str">
        <f t="shared" si="285"/>
        <v/>
      </c>
      <c r="T501" s="44"/>
    </row>
    <row r="502" spans="1:20" ht="26">
      <c r="A502" s="23"/>
      <c r="B502" s="34"/>
      <c r="C502" s="35" t="s">
        <v>27</v>
      </c>
      <c r="D502" s="36" t="s">
        <v>31</v>
      </c>
      <c r="E502" s="330" t="s">
        <v>617</v>
      </c>
      <c r="F502" s="231" t="s">
        <v>149</v>
      </c>
      <c r="G502" s="36"/>
      <c r="H502" s="35"/>
      <c r="I502" s="35" t="s">
        <v>137</v>
      </c>
      <c r="J502" s="328"/>
      <c r="K502" s="329">
        <v>8.25</v>
      </c>
      <c r="L502" s="329">
        <v>12.6</v>
      </c>
      <c r="M502" s="160">
        <v>1</v>
      </c>
      <c r="N502" s="191"/>
      <c r="O502" s="190" t="str">
        <f t="shared" si="58"/>
        <v/>
      </c>
      <c r="P502" s="191"/>
      <c r="Q502" s="190" t="str">
        <f t="shared" si="59"/>
        <v/>
      </c>
      <c r="R502" s="191"/>
      <c r="S502" s="190" t="str">
        <f t="shared" si="285"/>
        <v/>
      </c>
      <c r="T502" s="44"/>
    </row>
    <row r="503" spans="1:20" ht="26">
      <c r="A503" s="23"/>
      <c r="B503" s="34"/>
      <c r="C503" s="35" t="s">
        <v>27</v>
      </c>
      <c r="D503" s="36" t="s">
        <v>31</v>
      </c>
      <c r="E503" s="330" t="s">
        <v>618</v>
      </c>
      <c r="F503" s="231" t="s">
        <v>149</v>
      </c>
      <c r="G503" s="36"/>
      <c r="H503" s="35"/>
      <c r="I503" s="35" t="s">
        <v>137</v>
      </c>
      <c r="J503" s="328"/>
      <c r="K503" s="329">
        <v>10.1</v>
      </c>
      <c r="L503" s="329">
        <v>13.85</v>
      </c>
      <c r="M503" s="160">
        <v>1</v>
      </c>
      <c r="N503" s="191"/>
      <c r="O503" s="190" t="str">
        <f t="shared" si="58"/>
        <v/>
      </c>
      <c r="P503" s="191"/>
      <c r="Q503" s="190" t="str">
        <f t="shared" si="59"/>
        <v/>
      </c>
      <c r="R503" s="191"/>
      <c r="S503" s="190" t="str">
        <f t="shared" si="285"/>
        <v/>
      </c>
      <c r="T503" s="44"/>
    </row>
    <row r="504" spans="1:20" ht="31">
      <c r="A504" s="23"/>
      <c r="B504" s="34"/>
      <c r="C504" s="35" t="s">
        <v>27</v>
      </c>
      <c r="D504" s="36" t="s">
        <v>31</v>
      </c>
      <c r="E504" s="330" t="s">
        <v>619</v>
      </c>
      <c r="F504" s="231" t="s">
        <v>149</v>
      </c>
      <c r="G504" s="36"/>
      <c r="H504" s="35"/>
      <c r="I504" s="35" t="s">
        <v>137</v>
      </c>
      <c r="J504" s="330"/>
      <c r="K504" s="329">
        <v>10.6</v>
      </c>
      <c r="L504" s="329">
        <v>16.399999999999999</v>
      </c>
      <c r="M504" s="160">
        <v>1</v>
      </c>
      <c r="N504" s="191"/>
      <c r="O504" s="190" t="str">
        <f t="shared" si="58"/>
        <v/>
      </c>
      <c r="P504" s="191"/>
      <c r="Q504" s="190" t="str">
        <f t="shared" si="59"/>
        <v/>
      </c>
      <c r="R504" s="191"/>
      <c r="S504" s="190" t="str">
        <f t="shared" si="285"/>
        <v/>
      </c>
      <c r="T504" s="44"/>
    </row>
    <row r="505" spans="1:20" ht="26">
      <c r="A505" s="23"/>
      <c r="B505" s="34"/>
      <c r="C505" s="35" t="s">
        <v>27</v>
      </c>
      <c r="D505" s="36" t="s">
        <v>31</v>
      </c>
      <c r="E505" s="328" t="s">
        <v>620</v>
      </c>
      <c r="F505" s="231" t="s">
        <v>149</v>
      </c>
      <c r="G505" s="36"/>
      <c r="H505" s="35"/>
      <c r="I505" s="35" t="s">
        <v>137</v>
      </c>
      <c r="J505" s="35"/>
      <c r="K505" s="159">
        <v>9.9</v>
      </c>
      <c r="L505" s="159">
        <v>13.55</v>
      </c>
      <c r="M505" s="160">
        <v>1</v>
      </c>
      <c r="N505" s="191"/>
      <c r="O505" s="190" t="str">
        <f t="shared" ref="O505:O511" si="302">IF(AND($I505="In",ISNUMBER($K505)),$M505*$K505,"")</f>
        <v/>
      </c>
      <c r="P505" s="191"/>
      <c r="Q505" s="190" t="str">
        <f t="shared" ref="Q505:Q511" si="303">IF(AND($I505="In",ISNUMBER($L505)),$M505*$L505,"")</f>
        <v/>
      </c>
      <c r="R505" s="191"/>
      <c r="S505" s="190" t="str">
        <f t="shared" ref="S505:S511" si="304">IF(AND(ISNUMBER(O505),ISNUMBER(Q505)),ROUND((O505+Q505)/2, 1),"")</f>
        <v/>
      </c>
      <c r="T505" s="44"/>
    </row>
    <row r="506" spans="1:20" ht="26">
      <c r="A506" s="23"/>
      <c r="B506" s="34"/>
      <c r="C506" s="35" t="s">
        <v>27</v>
      </c>
      <c r="D506" s="36" t="s">
        <v>31</v>
      </c>
      <c r="E506" s="328" t="s">
        <v>621</v>
      </c>
      <c r="F506" s="231" t="s">
        <v>149</v>
      </c>
      <c r="G506" s="36"/>
      <c r="H506" s="35"/>
      <c r="I506" s="35" t="s">
        <v>137</v>
      </c>
      <c r="J506" s="35"/>
      <c r="K506" s="159">
        <v>0.75</v>
      </c>
      <c r="L506" s="159">
        <v>1.1000000000000001</v>
      </c>
      <c r="M506" s="160">
        <v>1</v>
      </c>
      <c r="N506" s="191"/>
      <c r="O506" s="190" t="str">
        <f t="shared" si="302"/>
        <v/>
      </c>
      <c r="P506" s="191"/>
      <c r="Q506" s="190" t="str">
        <f t="shared" si="303"/>
        <v/>
      </c>
      <c r="R506" s="191"/>
      <c r="S506" s="190" t="str">
        <f t="shared" si="304"/>
        <v/>
      </c>
      <c r="T506" s="44"/>
    </row>
    <row r="507" spans="1:20" ht="26">
      <c r="A507" s="23"/>
      <c r="B507" s="34"/>
      <c r="C507" s="35" t="s">
        <v>27</v>
      </c>
      <c r="D507" s="36" t="s">
        <v>31</v>
      </c>
      <c r="E507" s="328" t="s">
        <v>622</v>
      </c>
      <c r="F507" s="231" t="s">
        <v>149</v>
      </c>
      <c r="G507" s="36"/>
      <c r="H507" s="35"/>
      <c r="I507" s="35" t="s">
        <v>137</v>
      </c>
      <c r="J507" s="35"/>
      <c r="K507" s="159">
        <v>6.25</v>
      </c>
      <c r="L507" s="159">
        <v>7.5</v>
      </c>
      <c r="M507" s="160">
        <v>1</v>
      </c>
      <c r="N507" s="191"/>
      <c r="O507" s="190" t="str">
        <f t="shared" si="302"/>
        <v/>
      </c>
      <c r="P507" s="191"/>
      <c r="Q507" s="190" t="str">
        <f>IF(AND($I507="In",ISNUMBER($L507)),$M507*$L507,"")</f>
        <v/>
      </c>
      <c r="R507" s="191"/>
      <c r="S507" s="190" t="str">
        <f t="shared" si="304"/>
        <v/>
      </c>
      <c r="T507" s="44"/>
    </row>
    <row r="508" spans="1:20" ht="26">
      <c r="A508" s="23"/>
      <c r="B508" s="34"/>
      <c r="C508" s="35" t="s">
        <v>27</v>
      </c>
      <c r="D508" s="36" t="s">
        <v>31</v>
      </c>
      <c r="E508" s="328" t="s">
        <v>623</v>
      </c>
      <c r="F508" s="231" t="s">
        <v>149</v>
      </c>
      <c r="G508" s="36"/>
      <c r="H508" s="35"/>
      <c r="I508" s="35" t="s">
        <v>137</v>
      </c>
      <c r="J508" s="35"/>
      <c r="K508" s="159">
        <v>2.5</v>
      </c>
      <c r="L508" s="159">
        <v>3.75</v>
      </c>
      <c r="M508" s="160">
        <v>1</v>
      </c>
      <c r="N508" s="191"/>
      <c r="O508" s="190" t="str">
        <f>IF(AND($I508="In",ISNUMBER($K508)),$M508*$K508,"")</f>
        <v/>
      </c>
      <c r="P508" s="191"/>
      <c r="Q508" s="190" t="str">
        <f>IF(AND($I508="In",ISNUMBER($L508)),$M508*$L508,"")</f>
        <v/>
      </c>
      <c r="R508" s="191"/>
      <c r="S508" s="190" t="str">
        <f t="shared" si="304"/>
        <v/>
      </c>
      <c r="T508" s="44"/>
    </row>
    <row r="509" spans="1:20" ht="26">
      <c r="A509" s="23"/>
      <c r="B509" s="34"/>
      <c r="C509" s="35" t="s">
        <v>27</v>
      </c>
      <c r="D509" s="36" t="s">
        <v>31</v>
      </c>
      <c r="E509" s="328" t="s">
        <v>624</v>
      </c>
      <c r="F509" s="231" t="s">
        <v>149</v>
      </c>
      <c r="G509" s="36"/>
      <c r="H509" s="35"/>
      <c r="I509" s="35" t="s">
        <v>137</v>
      </c>
      <c r="J509" s="35"/>
      <c r="K509" s="159">
        <v>2.25</v>
      </c>
      <c r="L509" s="159">
        <v>3.5</v>
      </c>
      <c r="M509" s="160">
        <v>1</v>
      </c>
      <c r="N509" s="191"/>
      <c r="O509" s="190" t="str">
        <f t="shared" si="302"/>
        <v/>
      </c>
      <c r="P509" s="191"/>
      <c r="Q509" s="190" t="str">
        <f>IF(AND($I509="In",ISNUMBER($L509)),$M509*$L509,"")</f>
        <v/>
      </c>
      <c r="R509" s="191"/>
      <c r="S509" s="190" t="str">
        <f t="shared" si="304"/>
        <v/>
      </c>
      <c r="T509" s="44"/>
    </row>
    <row r="510" spans="1:20" ht="26">
      <c r="A510" s="23"/>
      <c r="B510" s="34"/>
      <c r="C510" s="35" t="s">
        <v>27</v>
      </c>
      <c r="D510" s="36" t="s">
        <v>31</v>
      </c>
      <c r="E510" s="328" t="s">
        <v>625</v>
      </c>
      <c r="F510" s="231" t="s">
        <v>149</v>
      </c>
      <c r="G510" s="36"/>
      <c r="H510" s="35"/>
      <c r="I510" s="35" t="s">
        <v>137</v>
      </c>
      <c r="J510" s="35"/>
      <c r="K510" s="159">
        <v>1.2</v>
      </c>
      <c r="L510" s="159">
        <v>2.25</v>
      </c>
      <c r="M510" s="160">
        <v>1</v>
      </c>
      <c r="N510" s="191"/>
      <c r="O510" s="190" t="str">
        <f t="shared" si="302"/>
        <v/>
      </c>
      <c r="P510" s="191"/>
      <c r="Q510" s="190" t="str">
        <f t="shared" si="303"/>
        <v/>
      </c>
      <c r="R510" s="191"/>
      <c r="S510" s="190" t="str">
        <f t="shared" si="304"/>
        <v/>
      </c>
      <c r="T510" s="44"/>
    </row>
    <row r="511" spans="1:20" ht="26">
      <c r="A511" s="23"/>
      <c r="B511" s="34"/>
      <c r="C511" s="35" t="s">
        <v>27</v>
      </c>
      <c r="D511" s="36" t="s">
        <v>31</v>
      </c>
      <c r="E511" s="328" t="s">
        <v>626</v>
      </c>
      <c r="F511" s="231" t="s">
        <v>149</v>
      </c>
      <c r="G511" s="36"/>
      <c r="H511" s="35"/>
      <c r="I511" s="35" t="s">
        <v>137</v>
      </c>
      <c r="J511" s="35"/>
      <c r="K511" s="159">
        <v>4.6500000000000004</v>
      </c>
      <c r="L511" s="159">
        <v>5.9</v>
      </c>
      <c r="M511" s="160">
        <v>1</v>
      </c>
      <c r="N511" s="191"/>
      <c r="O511" s="190" t="str">
        <f t="shared" si="302"/>
        <v/>
      </c>
      <c r="P511" s="191"/>
      <c r="Q511" s="190" t="str">
        <f t="shared" si="303"/>
        <v/>
      </c>
      <c r="R511" s="191"/>
      <c r="S511" s="190" t="str">
        <f t="shared" si="304"/>
        <v/>
      </c>
      <c r="T511" s="44"/>
    </row>
    <row r="512" spans="1:20" ht="26">
      <c r="A512" s="23"/>
      <c r="B512" s="34"/>
      <c r="C512" s="35" t="s">
        <v>27</v>
      </c>
      <c r="D512" s="36" t="s">
        <v>31</v>
      </c>
      <c r="E512" s="328" t="s">
        <v>627</v>
      </c>
      <c r="F512" s="231" t="s">
        <v>149</v>
      </c>
      <c r="G512" s="36"/>
      <c r="H512" s="35"/>
      <c r="I512" s="35" t="s">
        <v>137</v>
      </c>
      <c r="J512" s="35"/>
      <c r="K512" s="159">
        <v>2</v>
      </c>
      <c r="L512" s="159">
        <v>3</v>
      </c>
      <c r="M512" s="160">
        <v>1</v>
      </c>
      <c r="N512" s="191"/>
      <c r="O512" s="190" t="str">
        <f t="shared" ref="O512:O518" si="305">IF(AND($I512="In",ISNUMBER($K512)),$M512*$K512,"")</f>
        <v/>
      </c>
      <c r="P512" s="191"/>
      <c r="Q512" s="190" t="str">
        <f t="shared" ref="Q512:Q518" si="306">IF(AND($I512="In",ISNUMBER($L512)),$M512*$L512,"")</f>
        <v/>
      </c>
      <c r="R512" s="191"/>
      <c r="S512" s="190" t="str">
        <f t="shared" si="285"/>
        <v/>
      </c>
      <c r="T512" s="44"/>
    </row>
    <row r="513" spans="1:20" ht="26">
      <c r="A513" s="23"/>
      <c r="B513" s="34"/>
      <c r="C513" s="35" t="s">
        <v>27</v>
      </c>
      <c r="D513" s="36" t="s">
        <v>31</v>
      </c>
      <c r="E513" s="328" t="s">
        <v>628</v>
      </c>
      <c r="F513" s="231" t="s">
        <v>149</v>
      </c>
      <c r="G513" s="36"/>
      <c r="H513" s="35"/>
      <c r="I513" s="35" t="s">
        <v>137</v>
      </c>
      <c r="J513" s="35"/>
      <c r="K513" s="159">
        <v>2.25</v>
      </c>
      <c r="L513" s="159">
        <v>3.75</v>
      </c>
      <c r="M513" s="160">
        <v>1</v>
      </c>
      <c r="N513" s="191"/>
      <c r="O513" s="190" t="str">
        <f t="shared" si="305"/>
        <v/>
      </c>
      <c r="P513" s="191"/>
      <c r="Q513" s="190" t="str">
        <f t="shared" si="306"/>
        <v/>
      </c>
      <c r="R513" s="191"/>
      <c r="S513" s="190" t="str">
        <f t="shared" si="285"/>
        <v/>
      </c>
      <c r="T513" s="44"/>
    </row>
    <row r="514" spans="1:20" ht="26">
      <c r="A514" s="23"/>
      <c r="B514" s="34"/>
      <c r="C514" s="35" t="s">
        <v>27</v>
      </c>
      <c r="D514" s="36" t="s">
        <v>31</v>
      </c>
      <c r="E514" s="328" t="s">
        <v>629</v>
      </c>
      <c r="F514" s="231" t="s">
        <v>149</v>
      </c>
      <c r="G514" s="36"/>
      <c r="H514" s="35"/>
      <c r="I514" s="35" t="s">
        <v>137</v>
      </c>
      <c r="J514" s="35"/>
      <c r="K514" s="159">
        <v>3</v>
      </c>
      <c r="L514" s="159">
        <v>5</v>
      </c>
      <c r="M514" s="160">
        <v>1</v>
      </c>
      <c r="N514" s="191"/>
      <c r="O514" s="190" t="str">
        <f t="shared" si="305"/>
        <v/>
      </c>
      <c r="P514" s="191"/>
      <c r="Q514" s="190" t="str">
        <f t="shared" si="306"/>
        <v/>
      </c>
      <c r="R514" s="191"/>
      <c r="S514" s="190" t="str">
        <f t="shared" si="285"/>
        <v/>
      </c>
      <c r="T514" s="44"/>
    </row>
    <row r="515" spans="1:20" ht="26">
      <c r="A515" s="23"/>
      <c r="B515" s="34"/>
      <c r="C515" s="35" t="s">
        <v>27</v>
      </c>
      <c r="D515" s="36" t="s">
        <v>31</v>
      </c>
      <c r="E515" s="328" t="s">
        <v>630</v>
      </c>
      <c r="F515" s="231" t="s">
        <v>149</v>
      </c>
      <c r="G515" s="36"/>
      <c r="H515" s="35"/>
      <c r="I515" s="35" t="s">
        <v>137</v>
      </c>
      <c r="J515" s="35"/>
      <c r="K515" s="159">
        <v>2</v>
      </c>
      <c r="L515" s="159">
        <v>3</v>
      </c>
      <c r="M515" s="160">
        <v>1</v>
      </c>
      <c r="N515" s="191"/>
      <c r="O515" s="190" t="str">
        <f t="shared" si="305"/>
        <v/>
      </c>
      <c r="P515" s="191"/>
      <c r="Q515" s="190" t="str">
        <f>IF(AND($I515="In",ISNUMBER($L515)),$M515*$L515,"")</f>
        <v/>
      </c>
      <c r="R515" s="191"/>
      <c r="S515" s="190" t="str">
        <f t="shared" si="285"/>
        <v/>
      </c>
      <c r="T515" s="44"/>
    </row>
    <row r="516" spans="1:20" ht="26">
      <c r="A516" s="23"/>
      <c r="B516" s="34"/>
      <c r="C516" s="35" t="s">
        <v>27</v>
      </c>
      <c r="D516" s="36" t="s">
        <v>31</v>
      </c>
      <c r="E516" s="328" t="s">
        <v>631</v>
      </c>
      <c r="F516" s="231" t="s">
        <v>149</v>
      </c>
      <c r="G516" s="36"/>
      <c r="H516" s="35"/>
      <c r="I516" s="35" t="s">
        <v>137</v>
      </c>
      <c r="J516" s="35"/>
      <c r="K516" s="159">
        <v>1.5</v>
      </c>
      <c r="L516" s="159">
        <v>2.25</v>
      </c>
      <c r="M516" s="160">
        <v>1</v>
      </c>
      <c r="N516" s="191"/>
      <c r="O516" s="190" t="str">
        <f>IF(AND($I516="In",ISNUMBER($K516)),$M516*$K516,"")</f>
        <v/>
      </c>
      <c r="P516" s="191"/>
      <c r="Q516" s="190" t="str">
        <f>IF(AND($I516="In",ISNUMBER($L516)),$M516*$L516,"")</f>
        <v/>
      </c>
      <c r="R516" s="191"/>
      <c r="S516" s="190" t="str">
        <f t="shared" si="285"/>
        <v/>
      </c>
      <c r="T516" s="44"/>
    </row>
    <row r="517" spans="1:20" ht="26">
      <c r="A517" s="23"/>
      <c r="B517" s="34"/>
      <c r="C517" s="35" t="s">
        <v>27</v>
      </c>
      <c r="D517" s="36" t="s">
        <v>31</v>
      </c>
      <c r="E517" s="328" t="s">
        <v>632</v>
      </c>
      <c r="F517" s="231" t="s">
        <v>149</v>
      </c>
      <c r="G517" s="36"/>
      <c r="H517" s="35"/>
      <c r="I517" s="35" t="s">
        <v>137</v>
      </c>
      <c r="J517" s="35"/>
      <c r="K517" s="159">
        <v>1.5</v>
      </c>
      <c r="L517" s="159">
        <v>3.05</v>
      </c>
      <c r="M517" s="160">
        <v>1</v>
      </c>
      <c r="N517" s="191"/>
      <c r="O517" s="190" t="str">
        <f t="shared" si="305"/>
        <v/>
      </c>
      <c r="P517" s="191"/>
      <c r="Q517" s="190" t="str">
        <f>IF(AND($I517="In",ISNUMBER($L517)),$M517*$L517,"")</f>
        <v/>
      </c>
      <c r="R517" s="191"/>
      <c r="S517" s="190" t="str">
        <f t="shared" si="285"/>
        <v/>
      </c>
      <c r="T517" s="44"/>
    </row>
    <row r="518" spans="1:20">
      <c r="A518" s="23"/>
      <c r="B518" s="34"/>
      <c r="C518" s="35" t="s">
        <v>309</v>
      </c>
      <c r="D518" s="36" t="s">
        <v>24</v>
      </c>
      <c r="E518" s="36" t="s">
        <v>633</v>
      </c>
      <c r="F518" s="36" t="s">
        <v>135</v>
      </c>
      <c r="G518" s="36"/>
      <c r="H518" s="35"/>
      <c r="I518" s="35" t="s">
        <v>132</v>
      </c>
      <c r="J518" s="35"/>
      <c r="K518" s="159">
        <v>1.5</v>
      </c>
      <c r="L518" s="159">
        <v>2</v>
      </c>
      <c r="M518" s="160">
        <v>20</v>
      </c>
      <c r="N518" s="191"/>
      <c r="O518" s="190">
        <f t="shared" si="305"/>
        <v>30</v>
      </c>
      <c r="P518" s="191"/>
      <c r="Q518" s="190">
        <f t="shared" si="306"/>
        <v>40</v>
      </c>
      <c r="R518" s="191"/>
      <c r="S518" s="190">
        <f t="shared" si="285"/>
        <v>35</v>
      </c>
      <c r="T518" s="44" t="s">
        <v>634</v>
      </c>
    </row>
    <row r="519" spans="1:20" ht="26">
      <c r="A519" s="23"/>
      <c r="B519" s="34"/>
      <c r="C519" s="35" t="s">
        <v>309</v>
      </c>
      <c r="D519" s="36" t="s">
        <v>24</v>
      </c>
      <c r="E519" s="36" t="s">
        <v>635</v>
      </c>
      <c r="F519" s="231" t="s">
        <v>149</v>
      </c>
      <c r="G519" s="36"/>
      <c r="H519" s="35"/>
      <c r="I519" s="35" t="s">
        <v>132</v>
      </c>
      <c r="J519" s="35"/>
      <c r="K519" s="159">
        <v>1.5</v>
      </c>
      <c r="L519" s="159">
        <v>2</v>
      </c>
      <c r="M519" s="160">
        <v>50</v>
      </c>
      <c r="N519" s="191"/>
      <c r="O519" s="190">
        <f t="shared" si="58"/>
        <v>75</v>
      </c>
      <c r="P519" s="191"/>
      <c r="Q519" s="190">
        <f t="shared" si="59"/>
        <v>100</v>
      </c>
      <c r="R519" s="191"/>
      <c r="S519" s="190">
        <f t="shared" ref="S519:S524" si="307">IF(AND(ISNUMBER(O519),ISNUMBER(Q519)),ROUND((O519+Q519)/2, 1),"")</f>
        <v>87.5</v>
      </c>
      <c r="T519" s="44"/>
    </row>
    <row r="520" spans="1:20">
      <c r="A520" s="23"/>
      <c r="B520" s="34"/>
      <c r="C520" s="35" t="s">
        <v>309</v>
      </c>
      <c r="D520" s="36" t="s">
        <v>24</v>
      </c>
      <c r="E520" s="36" t="s">
        <v>636</v>
      </c>
      <c r="F520" s="36" t="s">
        <v>135</v>
      </c>
      <c r="G520" s="36"/>
      <c r="H520" s="35"/>
      <c r="I520" s="35" t="s">
        <v>137</v>
      </c>
      <c r="J520" s="35"/>
      <c r="K520" s="159">
        <v>2</v>
      </c>
      <c r="L520" s="159">
        <v>2</v>
      </c>
      <c r="M520" s="160">
        <v>10</v>
      </c>
      <c r="N520" s="191"/>
      <c r="O520" s="190" t="str">
        <f t="shared" si="58"/>
        <v/>
      </c>
      <c r="P520" s="191"/>
      <c r="Q520" s="190" t="str">
        <f t="shared" si="59"/>
        <v/>
      </c>
      <c r="R520" s="191"/>
      <c r="S520" s="190" t="str">
        <f t="shared" si="307"/>
        <v/>
      </c>
      <c r="T520" s="44"/>
    </row>
    <row r="521" spans="1:20">
      <c r="A521" s="23"/>
      <c r="B521" s="34"/>
      <c r="C521" s="35"/>
      <c r="D521" s="36"/>
      <c r="E521" s="36"/>
      <c r="F521" s="36"/>
      <c r="G521" s="36"/>
      <c r="H521" s="35"/>
      <c r="I521" s="35" t="s">
        <v>132</v>
      </c>
      <c r="J521" s="35"/>
      <c r="K521" s="159"/>
      <c r="L521" s="159"/>
      <c r="M521" s="160">
        <v>1</v>
      </c>
      <c r="N521" s="191"/>
      <c r="O521" s="190" t="str">
        <f t="shared" si="58"/>
        <v/>
      </c>
      <c r="P521" s="191"/>
      <c r="Q521" s="190" t="str">
        <f t="shared" si="59"/>
        <v/>
      </c>
      <c r="R521" s="191"/>
      <c r="S521" s="190" t="str">
        <f t="shared" si="307"/>
        <v/>
      </c>
      <c r="T521" s="44"/>
    </row>
    <row r="522" spans="1:20">
      <c r="A522" s="23"/>
      <c r="B522" s="34"/>
      <c r="C522" s="35" t="s">
        <v>309</v>
      </c>
      <c r="D522" s="36" t="s">
        <v>24</v>
      </c>
      <c r="E522" s="36" t="s">
        <v>637</v>
      </c>
      <c r="F522" s="36" t="s">
        <v>135</v>
      </c>
      <c r="G522" s="36"/>
      <c r="H522" s="35"/>
      <c r="I522" s="35" t="s">
        <v>132</v>
      </c>
      <c r="J522" s="35"/>
      <c r="K522" s="159">
        <v>3</v>
      </c>
      <c r="L522" s="159">
        <v>3</v>
      </c>
      <c r="M522" s="160">
        <v>1</v>
      </c>
      <c r="N522" s="191"/>
      <c r="O522" s="190">
        <f t="shared" si="58"/>
        <v>3</v>
      </c>
      <c r="P522" s="191"/>
      <c r="Q522" s="190">
        <f>IF(AND($I522="In",ISNUMBER($L522)),$M522*$L522,"")</f>
        <v>3</v>
      </c>
      <c r="R522" s="191"/>
      <c r="S522" s="190">
        <f t="shared" si="307"/>
        <v>3</v>
      </c>
      <c r="T522" s="44"/>
    </row>
    <row r="523" spans="1:20" ht="26">
      <c r="A523" s="23"/>
      <c r="B523" s="34"/>
      <c r="C523" s="35" t="s">
        <v>309</v>
      </c>
      <c r="D523" s="36" t="s">
        <v>24</v>
      </c>
      <c r="E523" s="36" t="s">
        <v>638</v>
      </c>
      <c r="F523" s="231" t="s">
        <v>149</v>
      </c>
      <c r="G523" s="36"/>
      <c r="H523" s="35"/>
      <c r="I523" s="35" t="s">
        <v>132</v>
      </c>
      <c r="J523" s="35"/>
      <c r="K523" s="159">
        <v>4</v>
      </c>
      <c r="L523" s="159">
        <v>6</v>
      </c>
      <c r="M523" s="160">
        <v>1</v>
      </c>
      <c r="N523" s="191"/>
      <c r="O523" s="190">
        <f>IF(AND($I523="In",ISNUMBER($K523)),$M523*$K523,"")</f>
        <v>4</v>
      </c>
      <c r="P523" s="191"/>
      <c r="Q523" s="190">
        <f>IF(AND($I523="In",ISNUMBER($L523)),$M523*$L523,"")</f>
        <v>6</v>
      </c>
      <c r="R523" s="191"/>
      <c r="S523" s="190">
        <f t="shared" si="307"/>
        <v>5</v>
      </c>
      <c r="T523" s="44"/>
    </row>
    <row r="524" spans="1:20">
      <c r="A524" s="23"/>
      <c r="B524" s="34"/>
      <c r="C524" s="35" t="s">
        <v>309</v>
      </c>
      <c r="D524" s="36" t="s">
        <v>24</v>
      </c>
      <c r="E524" s="36" t="s">
        <v>639</v>
      </c>
      <c r="F524" s="36" t="s">
        <v>135</v>
      </c>
      <c r="G524" s="36"/>
      <c r="H524" s="35"/>
      <c r="I524" s="35" t="s">
        <v>132</v>
      </c>
      <c r="J524" s="35"/>
      <c r="K524" s="159">
        <v>2</v>
      </c>
      <c r="L524" s="159">
        <v>2</v>
      </c>
      <c r="M524" s="160">
        <v>1</v>
      </c>
      <c r="N524" s="191"/>
      <c r="O524" s="190">
        <f t="shared" ref="O524" si="308">IF(AND($I524="In",ISNUMBER($K524)),$M524*$K524,"")</f>
        <v>2</v>
      </c>
      <c r="P524" s="191"/>
      <c r="Q524" s="190">
        <f t="shared" si="59"/>
        <v>2</v>
      </c>
      <c r="R524" s="191"/>
      <c r="S524" s="190">
        <f t="shared" si="307"/>
        <v>2</v>
      </c>
      <c r="T524" s="44"/>
    </row>
    <row r="525" spans="1:20" ht="26">
      <c r="A525" s="23"/>
      <c r="B525" s="34"/>
      <c r="C525" s="35" t="s">
        <v>309</v>
      </c>
      <c r="D525" s="36" t="s">
        <v>24</v>
      </c>
      <c r="E525" s="36" t="s">
        <v>640</v>
      </c>
      <c r="F525" s="231" t="s">
        <v>149</v>
      </c>
      <c r="G525" s="36"/>
      <c r="H525" s="35"/>
      <c r="I525" s="35" t="s">
        <v>132</v>
      </c>
      <c r="J525" s="35"/>
      <c r="K525" s="159">
        <v>3</v>
      </c>
      <c r="L525" s="159">
        <v>5</v>
      </c>
      <c r="M525" s="160">
        <v>1</v>
      </c>
      <c r="N525" s="191"/>
      <c r="O525" s="190">
        <f t="shared" si="58"/>
        <v>3</v>
      </c>
      <c r="P525" s="191"/>
      <c r="Q525" s="190">
        <f t="shared" si="59"/>
        <v>5</v>
      </c>
      <c r="R525" s="191"/>
      <c r="S525" s="190">
        <f t="shared" si="285"/>
        <v>4</v>
      </c>
      <c r="T525" s="44"/>
    </row>
    <row r="526" spans="1:20">
      <c r="A526" s="23"/>
      <c r="B526" s="34"/>
      <c r="C526" s="35" t="s">
        <v>309</v>
      </c>
      <c r="D526" s="36" t="s">
        <v>24</v>
      </c>
      <c r="E526" s="36" t="s">
        <v>641</v>
      </c>
      <c r="F526" s="36" t="s">
        <v>135</v>
      </c>
      <c r="G526" s="36"/>
      <c r="H526" s="35"/>
      <c r="I526" s="35" t="s">
        <v>132</v>
      </c>
      <c r="J526" s="35"/>
      <c r="K526" s="159">
        <v>2</v>
      </c>
      <c r="L526" s="159">
        <v>2</v>
      </c>
      <c r="M526" s="160">
        <v>1</v>
      </c>
      <c r="N526" s="191"/>
      <c r="O526" s="190">
        <f t="shared" ref="O526" si="309">IF(AND($I526="In",ISNUMBER($K526)),$M526*$K526,"")</f>
        <v>2</v>
      </c>
      <c r="P526" s="191"/>
      <c r="Q526" s="190">
        <f t="shared" si="59"/>
        <v>2</v>
      </c>
      <c r="R526" s="191"/>
      <c r="S526" s="190">
        <f t="shared" ref="S526:S527" si="310">IF(AND(ISNUMBER(O526),ISNUMBER(Q526)),ROUND((O526+Q526)/2, 1),"")</f>
        <v>2</v>
      </c>
      <c r="T526" s="44"/>
    </row>
    <row r="527" spans="1:20" ht="26">
      <c r="A527" s="23"/>
      <c r="B527" s="34"/>
      <c r="C527" s="35" t="s">
        <v>309</v>
      </c>
      <c r="D527" s="36" t="s">
        <v>24</v>
      </c>
      <c r="E527" s="36" t="s">
        <v>642</v>
      </c>
      <c r="F527" s="231" t="s">
        <v>149</v>
      </c>
      <c r="G527" s="36"/>
      <c r="H527" s="35"/>
      <c r="I527" s="35" t="s">
        <v>132</v>
      </c>
      <c r="J527" s="35"/>
      <c r="K527" s="159">
        <v>3</v>
      </c>
      <c r="L527" s="159">
        <v>5</v>
      </c>
      <c r="M527" s="160">
        <v>1</v>
      </c>
      <c r="N527" s="191"/>
      <c r="O527" s="190">
        <f t="shared" si="58"/>
        <v>3</v>
      </c>
      <c r="P527" s="191"/>
      <c r="Q527" s="190">
        <f t="shared" ref="Q527" si="311">IF(AND($I527="In",ISNUMBER($L527)),$M527*$L527,"")</f>
        <v>5</v>
      </c>
      <c r="R527" s="191"/>
      <c r="S527" s="190">
        <f t="shared" si="310"/>
        <v>4</v>
      </c>
      <c r="T527" s="44"/>
    </row>
    <row r="528" spans="1:20">
      <c r="B528" s="40"/>
      <c r="C528" s="41"/>
      <c r="D528" s="42"/>
      <c r="E528" s="126"/>
      <c r="F528" s="126"/>
      <c r="G528" s="126"/>
      <c r="H528" s="41"/>
      <c r="I528" s="41"/>
      <c r="J528" s="41"/>
      <c r="K528" s="161"/>
      <c r="L528" s="161"/>
      <c r="M528" s="162"/>
      <c r="N528" s="187"/>
      <c r="O528" s="187"/>
      <c r="P528" s="187"/>
      <c r="Q528" s="187"/>
      <c r="R528" s="187"/>
      <c r="S528" s="187"/>
      <c r="T528" s="127"/>
    </row>
  </sheetData>
  <autoFilter ref="A13:V525" xr:uid="{00000000-0009-0000-0000-000004000000}"/>
  <dataConsolidate/>
  <mergeCells count="2">
    <mergeCell ref="B5:E8"/>
    <mergeCell ref="F11:F12"/>
  </mergeCells>
  <conditionalFormatting sqref="A476:A480 B13:B527">
    <cfRule type="cellIs" dxfId="14" priority="2807" operator="equal">
      <formula>"X"</formula>
    </cfRule>
    <cfRule type="cellIs" dxfId="13" priority="2808" operator="equal">
      <formula>"E"</formula>
    </cfRule>
    <cfRule type="cellIs" dxfId="12" priority="2809" operator="equal">
      <formula>"W"</formula>
    </cfRule>
    <cfRule type="cellIs" dxfId="11" priority="2810" operator="equal">
      <formula>" "</formula>
    </cfRule>
  </conditionalFormatting>
  <conditionalFormatting sqref="K27:L27">
    <cfRule type="expression" dxfId="10" priority="1936" stopIfTrue="1">
      <formula>K27=W27</formula>
    </cfRule>
  </conditionalFormatting>
  <conditionalFormatting sqref="K34:L34">
    <cfRule type="expression" dxfId="9" priority="1935" stopIfTrue="1">
      <formula>K34=W34</formula>
    </cfRule>
  </conditionalFormatting>
  <conditionalFormatting sqref="K499:L504">
    <cfRule type="expression" dxfId="8" priority="686" stopIfTrue="1">
      <formula>K499=W499</formula>
    </cfRule>
  </conditionalFormatting>
  <conditionalFormatting sqref="K481:L486">
    <cfRule type="expression" dxfId="7" priority="261" stopIfTrue="1">
      <formula>K481=W481</formula>
    </cfRule>
  </conditionalFormatting>
  <dataValidations count="7">
    <dataValidation type="decimal" allowBlank="1" showInputMessage="1" showErrorMessage="1" errorTitle="Incorrect Value for ABP/HP" error="The entered value does not meet the criteria for 'ABP' or 'HP' values._x000a__x000a_Only decimal values ​​between 0.25 and 100 in increments of 0.25 are supported." sqref="K487:L498 K505:L528 K462:L480 Q14:Q528 O14:O528 K28:L31 K35:L48 K58:L130 K139:L146 K148:L187 K389:L397 K195:L386 K14:L26 K406:L457 K33:L33" xr:uid="{00000000-0002-0000-0400-000000000000}">
      <formula1>0.25</formula1>
      <formula2>100</formula2>
    </dataValidation>
    <dataValidation type="list" allowBlank="1" showInputMessage="1" showErrorMessage="1" sqref="E506:E517 J482:J486 J500:J504 E32" xr:uid="{00000000-0002-0000-0400-000001000000}">
      <formula1>metrics_component</formula1>
    </dataValidation>
    <dataValidation type="list" allowBlank="1" showInputMessage="1" showErrorMessage="1" sqref="J487:J498 J505:J527 J14:J480" xr:uid="{00000000-0002-0000-0400-000002000000}">
      <formula1>list_story_types</formula1>
    </dataValidation>
    <dataValidation type="list" showInputMessage="1" showErrorMessage="1" sqref="J499 E505 J481" xr:uid="{00000000-0002-0000-0400-000003000000}">
      <formula1>metrics_component</formula1>
    </dataValidation>
    <dataValidation type="custom" allowBlank="1" showInputMessage="1" showErrorMessage="1" errorTitle="Invalid Multiplier" error="You must enter a numeric value to define a valid multiplier." sqref="M453:M454 M129 M33 M62:M65 M105:M110 M90:M96 M14:M25 M48 M75:M88 M174:M186 M35:M41 M146" xr:uid="{00000000-0002-0000-0400-000004000000}">
      <formula1>ISNUMBER(M14)</formula1>
    </dataValidation>
    <dataValidation type="list" allowBlank="1" showInputMessage="1" showErrorMessage="1" sqref="C16:C18 C28 C23 C30:C40 D14:D527 C142:C144" xr:uid="{00000000-0002-0000-0400-000005000000}">
      <formula1>list_project_tracks</formula1>
    </dataValidation>
    <dataValidation type="list" allowBlank="1" showInputMessage="1" showErrorMessage="1" sqref="I14:I527" xr:uid="{00000000-0002-0000-0400-000006000000}">
      <formula1>list_scope_count</formula1>
    </dataValidation>
  </dataValidations>
  <pageMargins left="0.39370078740157483" right="0.39370078740157483" top="0.59055118110236227" bottom="0.59055118110236227" header="0.19685039370078741" footer="0.19685039370078741"/>
  <pageSetup scale="7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O35"/>
  <sheetViews>
    <sheetView showGridLines="0" topLeftCell="A4" zoomScale="85" zoomScaleNormal="85" workbookViewId="0">
      <selection activeCell="H17" sqref="H10:H17"/>
    </sheetView>
  </sheetViews>
  <sheetFormatPr defaultRowHeight="15.5"/>
  <cols>
    <col min="1" max="1" width="1.83203125" customWidth="1"/>
    <col min="2" max="3" width="12.5" customWidth="1"/>
    <col min="4" max="4" width="34.33203125" customWidth="1"/>
    <col min="5" max="5" width="9.33203125" customWidth="1"/>
    <col min="6" max="6" width="37.5" customWidth="1"/>
    <col min="7" max="8" width="9.33203125" customWidth="1"/>
    <col min="9" max="9" width="31.25" customWidth="1"/>
    <col min="10" max="10" width="25" customWidth="1"/>
    <col min="11" max="11" width="1.83203125" customWidth="1"/>
    <col min="12" max="15" width="8.08203125" customWidth="1"/>
    <col min="16" max="16" width="1.83203125" customWidth="1"/>
  </cols>
  <sheetData>
    <row r="1" spans="1:15" ht="11.25" customHeight="1"/>
    <row r="2" spans="1:15" ht="22.5" customHeight="1">
      <c r="C2" s="1"/>
      <c r="D2" s="1" t="s">
        <v>643</v>
      </c>
    </row>
    <row r="3" spans="1:15" ht="22.5" customHeight="1">
      <c r="C3" s="12"/>
      <c r="D3" s="12" t="str">
        <f>project_headline</f>
        <v>Publicis Sapient / Online POS System | Ongoing Releases Estimation</v>
      </c>
    </row>
    <row r="4" spans="1:15" ht="11.25" customHeight="1"/>
    <row r="5" spans="1:15" ht="88.5" customHeight="1">
      <c r="B5" s="365" t="s">
        <v>644</v>
      </c>
      <c r="C5" s="365"/>
      <c r="D5" s="365"/>
      <c r="E5" s="365"/>
      <c r="F5" s="24"/>
      <c r="G5" s="24"/>
      <c r="H5" s="24"/>
      <c r="I5" s="24"/>
      <c r="J5" s="24"/>
      <c r="K5" s="24"/>
      <c r="L5" s="24"/>
      <c r="M5" s="24"/>
      <c r="N5" s="24"/>
      <c r="O5" s="24"/>
    </row>
    <row r="6" spans="1:15" ht="11.25" customHeight="1">
      <c r="B6" s="365"/>
      <c r="C6" s="365"/>
      <c r="D6" s="365"/>
      <c r="E6" s="365"/>
    </row>
    <row r="7" spans="1:15" ht="31.5" customHeight="1">
      <c r="B7" s="365"/>
      <c r="C7" s="365"/>
      <c r="D7" s="365"/>
      <c r="E7" s="365"/>
      <c r="F7" s="381" t="s">
        <v>645</v>
      </c>
      <c r="G7" s="382"/>
      <c r="H7" s="331">
        <f>SUM(H10:H34)</f>
        <v>650</v>
      </c>
    </row>
    <row r="8" spans="1:15" ht="11.25" customHeight="1"/>
    <row r="9" spans="1:15" ht="31.5" customHeight="1">
      <c r="B9" s="20" t="s">
        <v>115</v>
      </c>
      <c r="C9" s="21" t="s">
        <v>116</v>
      </c>
      <c r="D9" s="28" t="s">
        <v>646</v>
      </c>
      <c r="E9" s="28" t="s">
        <v>647</v>
      </c>
      <c r="F9" s="29" t="s">
        <v>648</v>
      </c>
      <c r="G9" s="29" t="s">
        <v>649</v>
      </c>
      <c r="H9" s="29" t="s">
        <v>650</v>
      </c>
      <c r="I9" s="22" t="s">
        <v>124</v>
      </c>
    </row>
    <row r="10" spans="1:15" ht="26">
      <c r="A10" s="23"/>
      <c r="B10" s="34"/>
      <c r="C10" s="35" t="s">
        <v>22</v>
      </c>
      <c r="D10" s="36" t="s">
        <v>651</v>
      </c>
      <c r="E10" s="200">
        <v>15</v>
      </c>
      <c r="F10" s="36" t="s">
        <v>652</v>
      </c>
      <c r="G10" s="181">
        <v>20</v>
      </c>
      <c r="H10" s="180">
        <f t="shared" ref="H10:H17" si="0">G10*(IF(ISNUMBER(E10),E10,1))</f>
        <v>300</v>
      </c>
      <c r="I10" s="33"/>
    </row>
    <row r="11" spans="1:15" ht="26">
      <c r="A11" s="23"/>
      <c r="B11" s="34"/>
      <c r="C11" s="35" t="s">
        <v>25</v>
      </c>
      <c r="D11" s="36" t="s">
        <v>651</v>
      </c>
      <c r="E11" s="200">
        <v>4</v>
      </c>
      <c r="F11" s="36" t="s">
        <v>652</v>
      </c>
      <c r="G11" s="181">
        <v>20</v>
      </c>
      <c r="H11" s="180">
        <f t="shared" si="0"/>
        <v>80</v>
      </c>
      <c r="I11" s="33"/>
    </row>
    <row r="12" spans="1:15" ht="26">
      <c r="A12" s="129"/>
      <c r="B12" s="34"/>
      <c r="C12" s="35" t="s">
        <v>26</v>
      </c>
      <c r="D12" s="36" t="s">
        <v>651</v>
      </c>
      <c r="E12" s="200">
        <v>5</v>
      </c>
      <c r="F12" s="36" t="s">
        <v>652</v>
      </c>
      <c r="G12" s="181">
        <v>20</v>
      </c>
      <c r="H12" s="180">
        <f t="shared" si="0"/>
        <v>100</v>
      </c>
      <c r="I12" s="44"/>
    </row>
    <row r="13" spans="1:15" ht="26">
      <c r="A13" s="129"/>
      <c r="B13" s="34"/>
      <c r="C13" s="35" t="s">
        <v>27</v>
      </c>
      <c r="D13" s="36" t="s">
        <v>651</v>
      </c>
      <c r="E13" s="200">
        <v>2</v>
      </c>
      <c r="F13" s="36" t="s">
        <v>652</v>
      </c>
      <c r="G13" s="181">
        <v>20</v>
      </c>
      <c r="H13" s="180">
        <f t="shared" si="0"/>
        <v>40</v>
      </c>
      <c r="I13" s="44"/>
    </row>
    <row r="14" spans="1:15" ht="26">
      <c r="A14" s="129"/>
      <c r="B14" s="34"/>
      <c r="C14" s="35" t="s">
        <v>28</v>
      </c>
      <c r="D14" s="36" t="s">
        <v>651</v>
      </c>
      <c r="E14" s="200">
        <v>2</v>
      </c>
      <c r="F14" s="36" t="s">
        <v>652</v>
      </c>
      <c r="G14" s="181">
        <v>20</v>
      </c>
      <c r="H14" s="180">
        <f t="shared" si="0"/>
        <v>40</v>
      </c>
      <c r="I14" s="44"/>
    </row>
    <row r="15" spans="1:15" ht="26">
      <c r="A15" s="129"/>
      <c r="B15" s="34"/>
      <c r="C15" s="35" t="s">
        <v>29</v>
      </c>
      <c r="D15" s="36" t="s">
        <v>651</v>
      </c>
      <c r="E15" s="200">
        <v>2</v>
      </c>
      <c r="F15" s="36" t="s">
        <v>652</v>
      </c>
      <c r="G15" s="181">
        <v>20</v>
      </c>
      <c r="H15" s="180">
        <f t="shared" si="0"/>
        <v>40</v>
      </c>
      <c r="I15" s="44"/>
    </row>
    <row r="16" spans="1:15" ht="26">
      <c r="A16" s="129"/>
      <c r="B16" s="34"/>
      <c r="C16" s="35" t="s">
        <v>30</v>
      </c>
      <c r="D16" s="36" t="s">
        <v>651</v>
      </c>
      <c r="E16" s="200">
        <v>5</v>
      </c>
      <c r="F16" s="36" t="s">
        <v>652</v>
      </c>
      <c r="G16" s="181">
        <v>10</v>
      </c>
      <c r="H16" s="180">
        <f t="shared" si="0"/>
        <v>50</v>
      </c>
      <c r="I16" s="44"/>
    </row>
    <row r="17" spans="1:9">
      <c r="A17" s="23"/>
      <c r="B17" s="34"/>
      <c r="C17" s="35"/>
      <c r="D17" s="36"/>
      <c r="E17" s="200"/>
      <c r="F17" s="36"/>
      <c r="G17" s="181"/>
      <c r="H17" s="180">
        <f t="shared" si="0"/>
        <v>0</v>
      </c>
      <c r="I17" s="33"/>
    </row>
    <row r="18" spans="1:9">
      <c r="A18" s="23"/>
      <c r="B18" s="34"/>
      <c r="C18" s="35"/>
      <c r="D18" s="36"/>
      <c r="E18" s="200"/>
      <c r="F18" s="36"/>
      <c r="G18" s="181"/>
      <c r="H18" s="180">
        <f>G18*(IF(ISNUMBER(E18),E18,1))</f>
        <v>0</v>
      </c>
      <c r="I18" s="33"/>
    </row>
    <row r="19" spans="1:9">
      <c r="A19" s="129"/>
      <c r="B19" s="34"/>
      <c r="C19" s="35"/>
      <c r="D19" s="36"/>
      <c r="E19" s="200"/>
      <c r="F19" s="36"/>
      <c r="G19" s="181"/>
      <c r="H19" s="183">
        <f t="shared" ref="H19:H23" si="1">G19*(IF(ISNUMBER(E19),E19,1))</f>
        <v>0</v>
      </c>
      <c r="I19" s="44"/>
    </row>
    <row r="20" spans="1:9">
      <c r="A20" s="129"/>
      <c r="B20" s="34"/>
      <c r="C20" s="35"/>
      <c r="D20" s="36"/>
      <c r="E20" s="200"/>
      <c r="F20" s="36"/>
      <c r="G20" s="181"/>
      <c r="H20" s="183">
        <f t="shared" si="1"/>
        <v>0</v>
      </c>
      <c r="I20" s="44"/>
    </row>
    <row r="21" spans="1:9">
      <c r="A21" s="129"/>
      <c r="B21" s="34"/>
      <c r="C21" s="35"/>
      <c r="D21" s="36"/>
      <c r="E21" s="200"/>
      <c r="F21" s="36"/>
      <c r="G21" s="181"/>
      <c r="H21" s="183">
        <f t="shared" si="1"/>
        <v>0</v>
      </c>
      <c r="I21" s="44"/>
    </row>
    <row r="22" spans="1:9">
      <c r="A22" s="129"/>
      <c r="B22" s="34"/>
      <c r="C22" s="35"/>
      <c r="D22" s="36"/>
      <c r="E22" s="200"/>
      <c r="F22" s="36"/>
      <c r="G22" s="181"/>
      <c r="H22" s="183">
        <f t="shared" si="1"/>
        <v>0</v>
      </c>
      <c r="I22" s="44"/>
    </row>
    <row r="23" spans="1:9">
      <c r="A23" s="129"/>
      <c r="B23" s="34"/>
      <c r="C23" s="35"/>
      <c r="D23" s="36"/>
      <c r="E23" s="200"/>
      <c r="F23" s="36"/>
      <c r="G23" s="181"/>
      <c r="H23" s="183">
        <f t="shared" si="1"/>
        <v>0</v>
      </c>
      <c r="I23" s="44"/>
    </row>
    <row r="24" spans="1:9">
      <c r="A24" s="23"/>
      <c r="B24" s="34"/>
      <c r="C24" s="35"/>
      <c r="D24" s="36"/>
      <c r="E24" s="200"/>
      <c r="F24" s="36"/>
      <c r="G24" s="181"/>
      <c r="H24" s="183">
        <f t="shared" ref="H24:H34" si="2">G24*(IF(ISNUMBER(E24),E24,1))</f>
        <v>0</v>
      </c>
      <c r="I24" s="44"/>
    </row>
    <row r="25" spans="1:9">
      <c r="A25" s="23"/>
      <c r="B25" s="34"/>
      <c r="C25" s="35"/>
      <c r="D25" s="36"/>
      <c r="E25" s="200"/>
      <c r="F25" s="36"/>
      <c r="G25" s="181"/>
      <c r="H25" s="183">
        <f t="shared" si="2"/>
        <v>0</v>
      </c>
      <c r="I25" s="44"/>
    </row>
    <row r="26" spans="1:9">
      <c r="A26" s="23"/>
      <c r="B26" s="34"/>
      <c r="C26" s="35"/>
      <c r="D26" s="36"/>
      <c r="E26" s="200"/>
      <c r="F26" s="36"/>
      <c r="G26" s="181"/>
      <c r="H26" s="183">
        <f>G26*(IF(ISNUMBER(E26),E26,1))</f>
        <v>0</v>
      </c>
      <c r="I26" s="44"/>
    </row>
    <row r="27" spans="1:9">
      <c r="A27" s="23"/>
      <c r="B27" s="34"/>
      <c r="C27" s="35"/>
      <c r="D27" s="36"/>
      <c r="E27" s="200"/>
      <c r="F27" s="36"/>
      <c r="G27" s="181"/>
      <c r="H27" s="183">
        <f>G27*(IF(ISNUMBER(E27),E27,1))</f>
        <v>0</v>
      </c>
      <c r="I27" s="44"/>
    </row>
    <row r="28" spans="1:9">
      <c r="A28" s="23"/>
      <c r="B28" s="34"/>
      <c r="C28" s="35"/>
      <c r="D28" s="36"/>
      <c r="E28" s="200"/>
      <c r="F28" s="36"/>
      <c r="G28" s="181"/>
      <c r="H28" s="183">
        <f>G28*(IF(ISNUMBER(E28),E28,1))</f>
        <v>0</v>
      </c>
      <c r="I28" s="44"/>
    </row>
    <row r="29" spans="1:9">
      <c r="A29" s="23"/>
      <c r="B29" s="34"/>
      <c r="C29" s="35"/>
      <c r="D29" s="36"/>
      <c r="E29" s="200"/>
      <c r="F29" s="36"/>
      <c r="G29" s="181"/>
      <c r="H29" s="183">
        <f>G29*(IF(ISNUMBER(E29),E29,1))</f>
        <v>0</v>
      </c>
      <c r="I29" s="44"/>
    </row>
    <row r="30" spans="1:9">
      <c r="A30" s="23"/>
      <c r="B30" s="34"/>
      <c r="C30" s="35"/>
      <c r="D30" s="36"/>
      <c r="E30" s="200"/>
      <c r="F30" s="36"/>
      <c r="G30" s="181"/>
      <c r="H30" s="183">
        <f t="shared" si="2"/>
        <v>0</v>
      </c>
      <c r="I30" s="44"/>
    </row>
    <row r="31" spans="1:9">
      <c r="A31" s="23"/>
      <c r="B31" s="34"/>
      <c r="C31" s="35"/>
      <c r="D31" s="36"/>
      <c r="E31" s="200"/>
      <c r="F31" s="36"/>
      <c r="G31" s="181"/>
      <c r="H31" s="183">
        <f t="shared" si="2"/>
        <v>0</v>
      </c>
      <c r="I31" s="44"/>
    </row>
    <row r="32" spans="1:9">
      <c r="A32" s="23"/>
      <c r="B32" s="34"/>
      <c r="C32" s="35"/>
      <c r="D32" s="36"/>
      <c r="E32" s="200"/>
      <c r="F32" s="36"/>
      <c r="G32" s="181"/>
      <c r="H32" s="183">
        <f t="shared" si="2"/>
        <v>0</v>
      </c>
      <c r="I32" s="44"/>
    </row>
    <row r="33" spans="1:9">
      <c r="B33" s="37"/>
      <c r="C33" s="38"/>
      <c r="D33" s="39"/>
      <c r="E33" s="201"/>
      <c r="F33" s="39"/>
      <c r="G33" s="184"/>
      <c r="H33" s="186">
        <f t="shared" si="2"/>
        <v>0</v>
      </c>
      <c r="I33" s="45"/>
    </row>
    <row r="34" spans="1:9">
      <c r="A34" s="129" t="s">
        <v>653</v>
      </c>
      <c r="B34" s="34"/>
      <c r="C34" s="35"/>
      <c r="D34" s="36"/>
      <c r="E34" s="200"/>
      <c r="F34" s="36"/>
      <c r="G34" s="181"/>
      <c r="H34" s="183">
        <f t="shared" si="2"/>
        <v>0</v>
      </c>
      <c r="I34" s="44"/>
    </row>
    <row r="35" spans="1:9" ht="0.75" customHeight="1">
      <c r="B35" s="40"/>
      <c r="C35" s="41"/>
      <c r="D35" s="126"/>
      <c r="E35" s="194"/>
      <c r="F35" s="126"/>
      <c r="G35" s="187"/>
      <c r="H35" s="189"/>
      <c r="I35" s="128"/>
    </row>
  </sheetData>
  <dataConsolidate/>
  <mergeCells count="2">
    <mergeCell ref="B5:E7"/>
    <mergeCell ref="F7:G7"/>
  </mergeCells>
  <dataValidations count="1">
    <dataValidation type="list" allowBlank="1" showInputMessage="1" showErrorMessage="1" sqref="C10:C34" xr:uid="{00000000-0002-0000-0500-000000000000}">
      <formula1>list_project_tracks</formula1>
    </dataValidation>
  </dataValidations>
  <pageMargins left="0.39370078740157483" right="0.39370078740157483" top="0.59055118110236227" bottom="0.59055118110236227" header="0.19685039370078741" footer="0.19685039370078741"/>
  <pageSetup scale="7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O22"/>
  <sheetViews>
    <sheetView showGridLines="0" topLeftCell="A4" workbookViewId="0">
      <selection activeCell="E16" sqref="E16"/>
    </sheetView>
  </sheetViews>
  <sheetFormatPr defaultRowHeight="15.5"/>
  <cols>
    <col min="1" max="1" width="1.83203125" customWidth="1"/>
    <col min="2" max="3" width="12.5" customWidth="1"/>
    <col min="4" max="4" width="34.33203125" customWidth="1"/>
    <col min="5" max="5" width="9.33203125" customWidth="1"/>
    <col min="6" max="6" width="21.83203125" customWidth="1"/>
    <col min="7" max="8" width="18.75" customWidth="1"/>
    <col min="9" max="9" width="31.25" customWidth="1"/>
    <col min="10" max="10" width="25" customWidth="1"/>
    <col min="11" max="11" width="1.83203125" customWidth="1"/>
    <col min="12" max="15" width="8.08203125" customWidth="1"/>
    <col min="16" max="16" width="1.83203125" customWidth="1"/>
  </cols>
  <sheetData>
    <row r="1" spans="1:15" ht="11.25" customHeight="1"/>
    <row r="2" spans="1:15" ht="22.5" customHeight="1">
      <c r="C2" s="1"/>
      <c r="D2" s="1" t="s">
        <v>654</v>
      </c>
    </row>
    <row r="3" spans="1:15" ht="22.5" customHeight="1">
      <c r="C3" s="12"/>
      <c r="D3" s="12" t="str">
        <f>project_headline</f>
        <v>Publicis Sapient / Online POS System | Ongoing Releases Estimation</v>
      </c>
    </row>
    <row r="4" spans="1:15" ht="11.25" customHeight="1"/>
    <row r="5" spans="1:15" ht="72.75" customHeight="1">
      <c r="B5" s="365" t="s">
        <v>655</v>
      </c>
      <c r="C5" s="365"/>
      <c r="D5" s="365"/>
      <c r="E5" s="365"/>
      <c r="F5" s="24"/>
      <c r="G5" s="24"/>
      <c r="H5" s="24"/>
      <c r="I5" s="24"/>
      <c r="J5" s="24"/>
      <c r="K5" s="24"/>
      <c r="L5" s="24"/>
      <c r="M5" s="24"/>
      <c r="N5" s="24"/>
      <c r="O5" s="24"/>
    </row>
    <row r="6" spans="1:15" ht="15.75" customHeight="1">
      <c r="B6" s="365"/>
      <c r="C6" s="365"/>
      <c r="D6" s="365"/>
      <c r="E6" s="365"/>
      <c r="G6" s="47" t="s">
        <v>656</v>
      </c>
      <c r="H6" s="48"/>
    </row>
    <row r="7" spans="1:15" ht="15.75" customHeight="1">
      <c r="B7" s="365"/>
      <c r="C7" s="365"/>
      <c r="D7" s="365"/>
      <c r="E7" s="365"/>
      <c r="G7" s="49" t="s">
        <v>657</v>
      </c>
      <c r="H7" s="50" t="s">
        <v>658</v>
      </c>
    </row>
    <row r="8" spans="1:15" ht="15.75" customHeight="1">
      <c r="B8" s="365"/>
      <c r="C8" s="365"/>
      <c r="D8" s="365"/>
      <c r="E8" s="365"/>
      <c r="G8" s="51">
        <f>SUM(F11:F21)</f>
        <v>125</v>
      </c>
      <c r="H8" s="206">
        <f>SUM(H11:H21)</f>
        <v>471.25</v>
      </c>
    </row>
    <row r="9" spans="1:15" ht="11.25" customHeight="1"/>
    <row r="10" spans="1:15" ht="31.5" customHeight="1">
      <c r="B10" s="20" t="s">
        <v>115</v>
      </c>
      <c r="C10" s="21" t="s">
        <v>116</v>
      </c>
      <c r="D10" s="28" t="s">
        <v>659</v>
      </c>
      <c r="E10" s="28" t="s">
        <v>647</v>
      </c>
      <c r="F10" s="29" t="s">
        <v>660</v>
      </c>
      <c r="G10" s="29" t="s">
        <v>661</v>
      </c>
      <c r="H10" s="332" t="s">
        <v>662</v>
      </c>
      <c r="I10" s="46" t="s">
        <v>663</v>
      </c>
    </row>
    <row r="11" spans="1:15" ht="39">
      <c r="A11" s="23"/>
      <c r="B11" s="30"/>
      <c r="C11" s="31" t="s">
        <v>24</v>
      </c>
      <c r="D11" s="32" t="s">
        <v>664</v>
      </c>
      <c r="E11" s="199">
        <v>5</v>
      </c>
      <c r="F11" s="199">
        <v>10</v>
      </c>
      <c r="G11" s="202">
        <v>0.5</v>
      </c>
      <c r="H11" s="180">
        <f>F11*G11*(IF(ISNUMBER(E11),E11,1))</f>
        <v>25</v>
      </c>
      <c r="I11" s="33"/>
    </row>
    <row r="12" spans="1:15" ht="26">
      <c r="A12" s="23"/>
      <c r="B12" s="34"/>
      <c r="C12" s="35" t="s">
        <v>30</v>
      </c>
      <c r="D12" s="36" t="s">
        <v>665</v>
      </c>
      <c r="E12" s="200">
        <v>15</v>
      </c>
      <c r="F12" s="200">
        <v>10</v>
      </c>
      <c r="G12" s="203">
        <v>0.5</v>
      </c>
      <c r="H12" s="186">
        <f>F12*G12*(IF(ISNUMBER(E12),E12,1))</f>
        <v>75</v>
      </c>
      <c r="I12" s="44" t="s">
        <v>666</v>
      </c>
    </row>
    <row r="13" spans="1:15" ht="26">
      <c r="A13" s="23"/>
      <c r="B13" s="34"/>
      <c r="C13" s="35" t="s">
        <v>25</v>
      </c>
      <c r="D13" s="36" t="s">
        <v>667</v>
      </c>
      <c r="E13" s="200">
        <v>4</v>
      </c>
      <c r="F13" s="200">
        <v>15</v>
      </c>
      <c r="G13" s="203">
        <v>0.5</v>
      </c>
      <c r="H13" s="186">
        <f t="shared" ref="H13:H21" si="0">F13*G13*(IF(ISNUMBER(E13),E13,1))</f>
        <v>30</v>
      </c>
      <c r="I13" s="44"/>
    </row>
    <row r="14" spans="1:15" ht="39">
      <c r="A14" s="23"/>
      <c r="B14" s="34"/>
      <c r="C14" s="35" t="s">
        <v>27</v>
      </c>
      <c r="D14" s="36" t="s">
        <v>668</v>
      </c>
      <c r="E14" s="200">
        <v>2</v>
      </c>
      <c r="F14" s="200">
        <v>15</v>
      </c>
      <c r="G14" s="203">
        <v>0.75</v>
      </c>
      <c r="H14" s="186">
        <f t="shared" si="0"/>
        <v>22.5</v>
      </c>
      <c r="I14" s="44"/>
    </row>
    <row r="15" spans="1:15" ht="26">
      <c r="A15" s="23"/>
      <c r="B15" s="34"/>
      <c r="C15" s="35" t="s">
        <v>26</v>
      </c>
      <c r="D15" s="36" t="s">
        <v>669</v>
      </c>
      <c r="E15" s="200">
        <v>6</v>
      </c>
      <c r="F15" s="200">
        <v>25</v>
      </c>
      <c r="G15" s="203">
        <v>0.75</v>
      </c>
      <c r="H15" s="186">
        <f t="shared" si="0"/>
        <v>112.5</v>
      </c>
      <c r="I15" s="44"/>
    </row>
    <row r="16" spans="1:15" ht="39">
      <c r="A16" s="23"/>
      <c r="B16" s="34"/>
      <c r="C16" s="31" t="s">
        <v>26</v>
      </c>
      <c r="D16" s="32" t="s">
        <v>670</v>
      </c>
      <c r="E16" s="199">
        <v>10</v>
      </c>
      <c r="F16" s="199">
        <v>10</v>
      </c>
      <c r="G16" s="202">
        <v>0.75</v>
      </c>
      <c r="H16" s="186">
        <f>F16*G16*(IF(ISNUMBER(E16),E16,1))</f>
        <v>75</v>
      </c>
      <c r="I16" s="44"/>
    </row>
    <row r="17" spans="1:9" ht="39">
      <c r="A17" s="23"/>
      <c r="B17" s="34"/>
      <c r="C17" s="35"/>
      <c r="D17" s="36" t="s">
        <v>671</v>
      </c>
      <c r="E17" s="200">
        <v>4</v>
      </c>
      <c r="F17" s="200">
        <v>25</v>
      </c>
      <c r="G17" s="203">
        <v>0.75</v>
      </c>
      <c r="H17" s="186">
        <f t="shared" si="0"/>
        <v>75</v>
      </c>
      <c r="I17" s="44"/>
    </row>
    <row r="18" spans="1:9" ht="26">
      <c r="A18" s="23"/>
      <c r="B18" s="34"/>
      <c r="C18" s="35"/>
      <c r="D18" s="36" t="s">
        <v>672</v>
      </c>
      <c r="E18" s="200">
        <v>5</v>
      </c>
      <c r="F18" s="200">
        <v>15</v>
      </c>
      <c r="G18" s="203">
        <v>0.75</v>
      </c>
      <c r="H18" s="186">
        <f t="shared" si="0"/>
        <v>56.25</v>
      </c>
      <c r="I18" s="44"/>
    </row>
    <row r="19" spans="1:9">
      <c r="A19" s="23"/>
      <c r="B19" s="34"/>
      <c r="C19" s="35"/>
      <c r="D19" s="36"/>
      <c r="E19" s="200"/>
      <c r="F19" s="200"/>
      <c r="G19" s="203"/>
      <c r="H19" s="186">
        <f t="shared" si="0"/>
        <v>0</v>
      </c>
      <c r="I19" s="44"/>
    </row>
    <row r="20" spans="1:9">
      <c r="B20" s="37"/>
      <c r="C20" s="38"/>
      <c r="D20" s="39"/>
      <c r="E20" s="201"/>
      <c r="F20" s="201"/>
      <c r="G20" s="204"/>
      <c r="H20" s="186">
        <f t="shared" si="0"/>
        <v>0</v>
      </c>
      <c r="I20" s="45"/>
    </row>
    <row r="21" spans="1:9">
      <c r="A21" s="129" t="s">
        <v>653</v>
      </c>
      <c r="B21" s="34"/>
      <c r="C21" s="35"/>
      <c r="D21" s="36"/>
      <c r="E21" s="200"/>
      <c r="F21" s="200"/>
      <c r="G21" s="203"/>
      <c r="H21" s="186">
        <f t="shared" si="0"/>
        <v>0</v>
      </c>
      <c r="I21" s="44"/>
    </row>
    <row r="22" spans="1:9" ht="0.75" customHeight="1">
      <c r="B22" s="40"/>
      <c r="C22" s="41"/>
      <c r="D22" s="126"/>
      <c r="E22" s="194"/>
      <c r="F22" s="194"/>
      <c r="G22" s="205"/>
      <c r="H22" s="189"/>
      <c r="I22" s="128"/>
    </row>
  </sheetData>
  <dataConsolidate/>
  <mergeCells count="1">
    <mergeCell ref="B5:E8"/>
  </mergeCells>
  <dataValidations count="2">
    <dataValidation type="list" allowBlank="1" showInputMessage="1" showErrorMessage="1" sqref="C11:C21" xr:uid="{00000000-0002-0000-0600-000000000000}">
      <formula1>list_project_tracks</formula1>
    </dataValidation>
    <dataValidation type="list" allowBlank="1" showInputMessage="1" showErrorMessage="1" sqref="B11:B21" xr:uid="{00000000-0002-0000-0600-000001000000}">
      <formula1>list_risk_categories</formula1>
    </dataValidation>
  </dataValidations>
  <pageMargins left="0.39370078740157483" right="0.39370078740157483" top="0.59055118110236227" bottom="0.59055118110236227" header="0.19685039370078741" footer="0.19685039370078741"/>
  <pageSetup scale="7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A1:BE88"/>
  <sheetViews>
    <sheetView showGridLines="0" topLeftCell="A68" zoomScale="73" zoomScaleNormal="73" workbookViewId="0">
      <pane xSplit="7" topLeftCell="H1" activePane="topRight" state="frozen"/>
      <selection activeCell="A33" sqref="A33"/>
      <selection pane="topRight" activeCell="B5" sqref="B5:G5"/>
    </sheetView>
  </sheetViews>
  <sheetFormatPr defaultRowHeight="15.5"/>
  <cols>
    <col min="1" max="2" width="1.83203125" customWidth="1"/>
    <col min="3" max="3" width="15.58203125" customWidth="1"/>
    <col min="4" max="4" width="13.83203125" customWidth="1"/>
    <col min="5" max="5" width="32.5" customWidth="1"/>
    <col min="6" max="6" width="23" customWidth="1"/>
    <col min="7" max="7" width="15.58203125" customWidth="1"/>
    <col min="8" max="8" width="7.58203125" customWidth="1"/>
    <col min="9" max="38" width="6.25" customWidth="1"/>
    <col min="39" max="50" width="4.75" customWidth="1"/>
    <col min="51" max="51" width="9.25" bestFit="1" customWidth="1"/>
    <col min="52" max="52" width="7.5" customWidth="1"/>
    <col min="53" max="53" width="1.83203125" customWidth="1"/>
    <col min="54" max="57" width="8.08203125" customWidth="1"/>
    <col min="58" max="58" width="1.83203125" customWidth="1"/>
  </cols>
  <sheetData>
    <row r="1" spans="1:57" ht="11.25" customHeight="1"/>
    <row r="2" spans="1:57" ht="22.5" customHeight="1">
      <c r="D2" s="1"/>
      <c r="E2" s="1" t="s">
        <v>673</v>
      </c>
    </row>
    <row r="3" spans="1:57" ht="22.5" customHeight="1">
      <c r="D3" s="12"/>
      <c r="E3" s="12" t="str">
        <f>project_headline</f>
        <v>Publicis Sapient / Online POS System | Ongoing Releases Estimation</v>
      </c>
    </row>
    <row r="4" spans="1:57" ht="11.25" customHeight="1"/>
    <row r="5" spans="1:57" ht="66" customHeight="1">
      <c r="B5" s="365" t="s">
        <v>674</v>
      </c>
      <c r="C5" s="365"/>
      <c r="D5" s="365"/>
      <c r="E5" s="365"/>
      <c r="F5" s="365"/>
      <c r="G5" s="365"/>
      <c r="H5" s="53"/>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Z5" s="24"/>
      <c r="BA5" s="24"/>
      <c r="BB5" s="24"/>
      <c r="BC5" s="24"/>
      <c r="BD5" s="24"/>
      <c r="BE5" s="24"/>
    </row>
    <row r="6" spans="1:57" ht="11.25" customHeight="1">
      <c r="C6" s="53"/>
      <c r="D6" s="53"/>
      <c r="E6" s="53"/>
      <c r="F6" s="53"/>
      <c r="AZ6" s="24"/>
      <c r="BA6" s="24"/>
      <c r="BB6" s="24"/>
      <c r="BC6" s="24"/>
      <c r="BD6" s="24"/>
      <c r="BE6" s="24"/>
    </row>
    <row r="7" spans="1:57" ht="15.75" customHeight="1">
      <c r="B7" s="388" t="s">
        <v>675</v>
      </c>
      <c r="C7" s="388"/>
      <c r="D7" s="388"/>
      <c r="E7" s="388"/>
      <c r="F7" s="388"/>
      <c r="G7" s="388"/>
      <c r="H7" s="24"/>
      <c r="I7" s="6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row>
    <row r="8" spans="1:57" ht="11.25" customHeight="1"/>
    <row r="9" spans="1:57" ht="15.75" customHeight="1">
      <c r="B9" s="139" t="s">
        <v>676</v>
      </c>
      <c r="C9" s="143"/>
      <c r="D9" s="81">
        <v>41092</v>
      </c>
      <c r="E9" s="69" t="str">
        <f>IF(WEEKDAY(D9)&lt;&gt;2,"ERROR: Project start date has to be a Monday",CHOOSE(WEEKDAY(D9,2),"Monday","Tuesday","Wednesday","Thursday","Friday","Saturday","Sunday"))</f>
        <v>Monday</v>
      </c>
    </row>
    <row r="10" spans="1:57" ht="15.75" customHeight="1" thickBot="1">
      <c r="B10" s="140" t="s">
        <v>677</v>
      </c>
      <c r="C10" s="144"/>
      <c r="D10" s="82">
        <v>41306</v>
      </c>
      <c r="E10" s="70" t="str">
        <f>IF(WEEKDAY(D10)&lt;&gt;6,"ERROR: Project end date has to be a Friday",CHOOSE(WEEKDAY(D10,2),"Monday","Tuesday","Wednesday","Thursday","Friday","Saturday","Sunday"))</f>
        <v>Friday</v>
      </c>
    </row>
    <row r="11" spans="1:57" ht="15.75" customHeight="1" thickBot="1">
      <c r="B11" s="141" t="s">
        <v>678</v>
      </c>
      <c r="C11" s="145"/>
      <c r="D11" s="90">
        <f>IF(AND(ISBLANK(D9),ISBLANK(D10)),,(DAYS360(D9,D10)+3)/7)</f>
        <v>30.285714285714285</v>
      </c>
      <c r="E11" s="70" t="s">
        <v>679</v>
      </c>
      <c r="H11" s="395" t="s">
        <v>135</v>
      </c>
      <c r="I11" s="396"/>
      <c r="J11" s="396"/>
      <c r="K11" s="396"/>
      <c r="L11" s="396"/>
      <c r="M11" s="397"/>
      <c r="N11" s="398" t="s">
        <v>149</v>
      </c>
      <c r="O11" s="399"/>
      <c r="P11" s="399"/>
      <c r="Q11" s="399"/>
      <c r="R11" s="399"/>
      <c r="S11" s="399"/>
      <c r="T11" s="399"/>
      <c r="U11" s="399"/>
      <c r="V11" s="399"/>
      <c r="W11" s="399"/>
      <c r="X11" s="399"/>
      <c r="Y11" s="399"/>
      <c r="Z11" s="399"/>
      <c r="AA11" s="399"/>
      <c r="AB11" s="400"/>
      <c r="AC11" s="401" t="s">
        <v>680</v>
      </c>
      <c r="AD11" s="402"/>
      <c r="AE11" s="402"/>
      <c r="AF11" s="402"/>
      <c r="AG11" s="402"/>
      <c r="AH11" s="405" t="s">
        <v>681</v>
      </c>
      <c r="AI11" s="405"/>
      <c r="AJ11" s="405"/>
      <c r="AK11" s="405"/>
      <c r="AL11" s="406"/>
      <c r="AM11" s="383" t="s">
        <v>586</v>
      </c>
      <c r="AN11" s="384"/>
      <c r="AO11" s="384"/>
      <c r="AP11" s="384"/>
      <c r="AQ11" s="384"/>
      <c r="AR11" s="384"/>
      <c r="AS11" s="384"/>
      <c r="AT11" s="385"/>
      <c r="AU11" s="298"/>
      <c r="AV11" s="298"/>
      <c r="AW11" s="298"/>
      <c r="AX11" s="298"/>
    </row>
    <row r="12" spans="1:57" ht="18" customHeight="1" thickBot="1">
      <c r="B12" s="142" t="s">
        <v>682</v>
      </c>
      <c r="C12" s="146"/>
      <c r="D12" s="83">
        <f>NETWORKDAYS(D9,D10)</f>
        <v>155</v>
      </c>
      <c r="E12" s="71" t="s">
        <v>683</v>
      </c>
      <c r="H12" s="389" t="s">
        <v>684</v>
      </c>
      <c r="I12" s="390"/>
      <c r="J12" s="391"/>
      <c r="K12" s="389" t="s">
        <v>685</v>
      </c>
      <c r="L12" s="390"/>
      <c r="M12" s="391"/>
      <c r="N12" s="392" t="s">
        <v>686</v>
      </c>
      <c r="O12" s="393"/>
      <c r="P12" s="394"/>
      <c r="Q12" s="392" t="s">
        <v>687</v>
      </c>
      <c r="R12" s="393"/>
      <c r="S12" s="394"/>
      <c r="T12" s="392" t="s">
        <v>688</v>
      </c>
      <c r="U12" s="393"/>
      <c r="V12" s="394"/>
      <c r="W12" s="392" t="s">
        <v>689</v>
      </c>
      <c r="X12" s="393"/>
      <c r="Y12" s="394"/>
      <c r="Z12" s="392" t="s">
        <v>690</v>
      </c>
      <c r="AA12" s="393"/>
      <c r="AB12" s="394"/>
      <c r="AC12" s="407" t="s">
        <v>691</v>
      </c>
      <c r="AD12" s="408"/>
      <c r="AE12" s="408"/>
      <c r="AF12" s="408"/>
      <c r="AG12" s="408"/>
      <c r="AH12" s="410" t="s">
        <v>692</v>
      </c>
      <c r="AI12" s="410"/>
      <c r="AJ12" s="387"/>
      <c r="AK12" s="386" t="s">
        <v>693</v>
      </c>
      <c r="AL12" s="387"/>
    </row>
    <row r="13" spans="1:57" ht="11.25" customHeight="1"/>
    <row r="14" spans="1:57" ht="15.75" customHeight="1">
      <c r="B14" s="68"/>
      <c r="C14" s="333"/>
      <c r="D14" s="334"/>
      <c r="E14" s="335"/>
      <c r="F14" s="335"/>
      <c r="G14" s="332"/>
      <c r="H14" s="84">
        <v>1</v>
      </c>
      <c r="I14" s="84">
        <f>H14+1</f>
        <v>2</v>
      </c>
      <c r="J14" s="84">
        <f t="shared" ref="J14:AX14" si="0">I14+1</f>
        <v>3</v>
      </c>
      <c r="K14" s="84">
        <f t="shared" si="0"/>
        <v>4</v>
      </c>
      <c r="L14" s="84">
        <f t="shared" si="0"/>
        <v>5</v>
      </c>
      <c r="M14" s="84">
        <f t="shared" si="0"/>
        <v>6</v>
      </c>
      <c r="N14" s="84">
        <f t="shared" si="0"/>
        <v>7</v>
      </c>
      <c r="O14" s="84">
        <f t="shared" si="0"/>
        <v>8</v>
      </c>
      <c r="P14" s="84">
        <f t="shared" si="0"/>
        <v>9</v>
      </c>
      <c r="Q14" s="84">
        <f t="shared" si="0"/>
        <v>10</v>
      </c>
      <c r="R14" s="84">
        <f t="shared" si="0"/>
        <v>11</v>
      </c>
      <c r="S14" s="84">
        <f t="shared" si="0"/>
        <v>12</v>
      </c>
      <c r="T14" s="84">
        <f t="shared" si="0"/>
        <v>13</v>
      </c>
      <c r="U14" s="84">
        <f t="shared" si="0"/>
        <v>14</v>
      </c>
      <c r="V14" s="84">
        <f t="shared" si="0"/>
        <v>15</v>
      </c>
      <c r="W14" s="84">
        <f t="shared" si="0"/>
        <v>16</v>
      </c>
      <c r="X14" s="84">
        <f t="shared" si="0"/>
        <v>17</v>
      </c>
      <c r="Y14" s="84">
        <f t="shared" si="0"/>
        <v>18</v>
      </c>
      <c r="Z14" s="84">
        <f t="shared" si="0"/>
        <v>19</v>
      </c>
      <c r="AA14" s="84">
        <f t="shared" si="0"/>
        <v>20</v>
      </c>
      <c r="AB14" s="84">
        <f t="shared" si="0"/>
        <v>21</v>
      </c>
      <c r="AC14" s="84">
        <f t="shared" si="0"/>
        <v>22</v>
      </c>
      <c r="AD14" s="84">
        <f t="shared" si="0"/>
        <v>23</v>
      </c>
      <c r="AE14" s="84">
        <f t="shared" si="0"/>
        <v>24</v>
      </c>
      <c r="AF14" s="84">
        <f t="shared" si="0"/>
        <v>25</v>
      </c>
      <c r="AG14" s="84">
        <f t="shared" si="0"/>
        <v>26</v>
      </c>
      <c r="AH14" s="84">
        <f t="shared" si="0"/>
        <v>27</v>
      </c>
      <c r="AI14" s="84">
        <f t="shared" si="0"/>
        <v>28</v>
      </c>
      <c r="AJ14" s="84">
        <f t="shared" si="0"/>
        <v>29</v>
      </c>
      <c r="AK14" s="84">
        <f t="shared" si="0"/>
        <v>30</v>
      </c>
      <c r="AL14" s="84">
        <f t="shared" si="0"/>
        <v>31</v>
      </c>
      <c r="AM14" s="84">
        <f t="shared" si="0"/>
        <v>32</v>
      </c>
      <c r="AN14" s="84">
        <f t="shared" si="0"/>
        <v>33</v>
      </c>
      <c r="AO14" s="84">
        <f t="shared" si="0"/>
        <v>34</v>
      </c>
      <c r="AP14" s="84">
        <f t="shared" si="0"/>
        <v>35</v>
      </c>
      <c r="AQ14" s="84">
        <f t="shared" si="0"/>
        <v>36</v>
      </c>
      <c r="AR14" s="84">
        <f t="shared" si="0"/>
        <v>37</v>
      </c>
      <c r="AS14" s="84">
        <f t="shared" si="0"/>
        <v>38</v>
      </c>
      <c r="AT14" s="84">
        <f t="shared" si="0"/>
        <v>39</v>
      </c>
      <c r="AU14" s="84">
        <f t="shared" si="0"/>
        <v>40</v>
      </c>
      <c r="AV14" s="84">
        <f t="shared" si="0"/>
        <v>41</v>
      </c>
      <c r="AW14" s="84">
        <f t="shared" si="0"/>
        <v>42</v>
      </c>
      <c r="AX14" s="84">
        <f t="shared" si="0"/>
        <v>43</v>
      </c>
      <c r="AY14" s="332"/>
      <c r="AZ14" s="336"/>
    </row>
    <row r="15" spans="1:57" ht="52.5" customHeight="1">
      <c r="B15" s="73" t="s">
        <v>114</v>
      </c>
      <c r="C15" s="148" t="s">
        <v>694</v>
      </c>
      <c r="D15" s="74" t="s">
        <v>695</v>
      </c>
      <c r="E15" s="75" t="s">
        <v>696</v>
      </c>
      <c r="F15" s="75" t="s">
        <v>697</v>
      </c>
      <c r="G15" s="76" t="s">
        <v>116</v>
      </c>
      <c r="H15" s="85">
        <f>D9</f>
        <v>41092</v>
      </c>
      <c r="I15" s="85">
        <f>H15+7</f>
        <v>41099</v>
      </c>
      <c r="J15" s="85">
        <f t="shared" ref="J15:AX15" si="1">I15+7</f>
        <v>41106</v>
      </c>
      <c r="K15" s="85">
        <f t="shared" si="1"/>
        <v>41113</v>
      </c>
      <c r="L15" s="85">
        <f t="shared" si="1"/>
        <v>41120</v>
      </c>
      <c r="M15" s="85">
        <f t="shared" si="1"/>
        <v>41127</v>
      </c>
      <c r="N15" s="85">
        <f t="shared" si="1"/>
        <v>41134</v>
      </c>
      <c r="O15" s="85">
        <f t="shared" si="1"/>
        <v>41141</v>
      </c>
      <c r="P15" s="85">
        <f t="shared" si="1"/>
        <v>41148</v>
      </c>
      <c r="Q15" s="85">
        <f t="shared" si="1"/>
        <v>41155</v>
      </c>
      <c r="R15" s="85">
        <f t="shared" si="1"/>
        <v>41162</v>
      </c>
      <c r="S15" s="85">
        <f t="shared" si="1"/>
        <v>41169</v>
      </c>
      <c r="T15" s="85">
        <f t="shared" si="1"/>
        <v>41176</v>
      </c>
      <c r="U15" s="85">
        <f t="shared" si="1"/>
        <v>41183</v>
      </c>
      <c r="V15" s="85">
        <f t="shared" si="1"/>
        <v>41190</v>
      </c>
      <c r="W15" s="85">
        <f t="shared" si="1"/>
        <v>41197</v>
      </c>
      <c r="X15" s="85">
        <f t="shared" si="1"/>
        <v>41204</v>
      </c>
      <c r="Y15" s="85">
        <f t="shared" si="1"/>
        <v>41211</v>
      </c>
      <c r="Z15" s="85">
        <f t="shared" si="1"/>
        <v>41218</v>
      </c>
      <c r="AA15" s="85">
        <f t="shared" si="1"/>
        <v>41225</v>
      </c>
      <c r="AB15" s="85">
        <f t="shared" si="1"/>
        <v>41232</v>
      </c>
      <c r="AC15" s="85">
        <f t="shared" si="1"/>
        <v>41239</v>
      </c>
      <c r="AD15" s="85">
        <f t="shared" si="1"/>
        <v>41246</v>
      </c>
      <c r="AE15" s="85">
        <f t="shared" si="1"/>
        <v>41253</v>
      </c>
      <c r="AF15" s="85">
        <f t="shared" si="1"/>
        <v>41260</v>
      </c>
      <c r="AG15" s="85">
        <f t="shared" si="1"/>
        <v>41267</v>
      </c>
      <c r="AH15" s="85">
        <f t="shared" si="1"/>
        <v>41274</v>
      </c>
      <c r="AI15" s="85">
        <f t="shared" si="1"/>
        <v>41281</v>
      </c>
      <c r="AJ15" s="85">
        <f t="shared" si="1"/>
        <v>41288</v>
      </c>
      <c r="AK15" s="85">
        <f t="shared" si="1"/>
        <v>41295</v>
      </c>
      <c r="AL15" s="85">
        <f t="shared" si="1"/>
        <v>41302</v>
      </c>
      <c r="AM15" s="85">
        <f t="shared" si="1"/>
        <v>41309</v>
      </c>
      <c r="AN15" s="85">
        <f t="shared" si="1"/>
        <v>41316</v>
      </c>
      <c r="AO15" s="85">
        <f t="shared" si="1"/>
        <v>41323</v>
      </c>
      <c r="AP15" s="85">
        <f t="shared" si="1"/>
        <v>41330</v>
      </c>
      <c r="AQ15" s="85">
        <f t="shared" si="1"/>
        <v>41337</v>
      </c>
      <c r="AR15" s="85">
        <f t="shared" si="1"/>
        <v>41344</v>
      </c>
      <c r="AS15" s="85">
        <f t="shared" si="1"/>
        <v>41351</v>
      </c>
      <c r="AT15" s="85">
        <f t="shared" si="1"/>
        <v>41358</v>
      </c>
      <c r="AU15" s="85">
        <f t="shared" si="1"/>
        <v>41365</v>
      </c>
      <c r="AV15" s="85">
        <f t="shared" si="1"/>
        <v>41372</v>
      </c>
      <c r="AW15" s="85">
        <f t="shared" si="1"/>
        <v>41379</v>
      </c>
      <c r="AX15" s="85">
        <f t="shared" si="1"/>
        <v>41386</v>
      </c>
      <c r="AY15" s="86" t="s">
        <v>698</v>
      </c>
      <c r="AZ15" s="91" t="s">
        <v>699</v>
      </c>
    </row>
    <row r="16" spans="1:57" hidden="1">
      <c r="A16" s="23"/>
      <c r="B16" s="153"/>
      <c r="C16" s="149"/>
      <c r="D16" s="35"/>
      <c r="E16" s="35"/>
      <c r="F16" s="35"/>
      <c r="G16" s="44"/>
      <c r="H16" s="94"/>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103">
        <f t="shared" ref="AY16:AY43" ca="1" si="2">SUM(INDIRECT(ADDRESS(ROW(),CELL("col",staffing_column_before_weeks)+1) &amp; ":" &amp; ADDRESS(ROW(),CELL("col", staffing_column_after_weeks)-1)))*5</f>
        <v>0</v>
      </c>
      <c r="AZ16" s="98">
        <f ca="1">IF(staffing_planned_net_work_days=0,0,AY16/staffing_planned_net_work_days)</f>
        <v>0</v>
      </c>
    </row>
    <row r="17" spans="1:52">
      <c r="A17" s="23"/>
      <c r="B17" s="77" t="s">
        <v>700</v>
      </c>
      <c r="C17" s="147"/>
      <c r="D17" s="78"/>
      <c r="E17" s="78"/>
      <c r="F17" s="78"/>
      <c r="G17" s="79"/>
      <c r="H17" s="78"/>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80"/>
    </row>
    <row r="18" spans="1:52">
      <c r="A18" s="23"/>
      <c r="B18" s="154"/>
      <c r="C18" s="150"/>
      <c r="D18" s="72"/>
      <c r="E18" s="72"/>
      <c r="F18" s="72"/>
      <c r="G18" s="92"/>
      <c r="H18" s="234"/>
      <c r="I18" s="234"/>
      <c r="J18" s="234"/>
      <c r="K18" s="234"/>
      <c r="L18" s="234"/>
      <c r="M18" s="234"/>
      <c r="N18" s="241"/>
      <c r="O18" s="241"/>
      <c r="P18" s="241"/>
      <c r="Q18" s="241"/>
      <c r="R18" s="241"/>
      <c r="S18" s="241"/>
      <c r="T18" s="241"/>
      <c r="U18" s="241"/>
      <c r="V18" s="241"/>
      <c r="W18" s="241"/>
      <c r="X18" s="241"/>
      <c r="Y18" s="242"/>
      <c r="Z18" s="242"/>
      <c r="AA18" s="242"/>
      <c r="AB18" s="242"/>
      <c r="AC18" s="237"/>
      <c r="AD18" s="237"/>
      <c r="AE18" s="237"/>
      <c r="AF18" s="237"/>
      <c r="AG18" s="237"/>
      <c r="AH18" s="239"/>
      <c r="AI18" s="239"/>
      <c r="AJ18" s="239"/>
      <c r="AK18" s="239"/>
      <c r="AL18" s="239"/>
      <c r="AM18" s="93"/>
      <c r="AN18" s="93"/>
      <c r="AO18" s="93"/>
      <c r="AP18" s="93"/>
      <c r="AQ18" s="93"/>
      <c r="AR18" s="93"/>
      <c r="AS18" s="93"/>
      <c r="AT18" s="93"/>
      <c r="AU18" s="93"/>
      <c r="AV18" s="93"/>
      <c r="AW18" s="93"/>
      <c r="AX18" s="93"/>
      <c r="AY18" s="102">
        <f t="shared" ca="1" si="2"/>
        <v>0</v>
      </c>
      <c r="AZ18" s="97">
        <f t="shared" ref="AZ18:AZ36" ca="1" si="3">IF(staffing_planned_net_work_days=0,0,AY18/staffing_planned_net_work_days)</f>
        <v>0</v>
      </c>
    </row>
    <row r="19" spans="1:52">
      <c r="A19" s="23"/>
      <c r="B19" s="153"/>
      <c r="C19" s="151" t="s">
        <v>701</v>
      </c>
      <c r="D19" s="72" t="s">
        <v>702</v>
      </c>
      <c r="E19" s="35" t="s">
        <v>703</v>
      </c>
      <c r="F19" s="35" t="s">
        <v>704</v>
      </c>
      <c r="G19" s="44" t="s">
        <v>22</v>
      </c>
      <c r="H19" s="234">
        <v>1</v>
      </c>
      <c r="I19" s="234">
        <v>1</v>
      </c>
      <c r="J19" s="234">
        <v>1</v>
      </c>
      <c r="K19" s="234">
        <v>1</v>
      </c>
      <c r="L19" s="234">
        <v>1</v>
      </c>
      <c r="M19" s="234">
        <v>1</v>
      </c>
      <c r="N19" s="241">
        <v>1</v>
      </c>
      <c r="O19" s="241">
        <v>1</v>
      </c>
      <c r="P19" s="241">
        <v>1</v>
      </c>
      <c r="Q19" s="241">
        <v>1</v>
      </c>
      <c r="R19" s="241">
        <v>1</v>
      </c>
      <c r="S19" s="241">
        <v>1</v>
      </c>
      <c r="T19" s="241">
        <v>0.5</v>
      </c>
      <c r="U19" s="241">
        <v>0.5</v>
      </c>
      <c r="V19" s="241">
        <v>0.5</v>
      </c>
      <c r="W19" s="241">
        <v>0.5</v>
      </c>
      <c r="X19" s="241">
        <v>0.5</v>
      </c>
      <c r="Y19" s="241">
        <v>0.5</v>
      </c>
      <c r="Z19" s="241">
        <v>0.5</v>
      </c>
      <c r="AA19" s="241">
        <v>0.5</v>
      </c>
      <c r="AB19" s="241">
        <v>0.5</v>
      </c>
      <c r="AC19" s="238">
        <v>0.5</v>
      </c>
      <c r="AD19" s="238">
        <v>0.5</v>
      </c>
      <c r="AE19" s="238">
        <v>0.5</v>
      </c>
      <c r="AF19" s="238">
        <v>0.5</v>
      </c>
      <c r="AG19" s="238">
        <v>0.5</v>
      </c>
      <c r="AH19" s="240">
        <v>1</v>
      </c>
      <c r="AI19" s="240">
        <v>1</v>
      </c>
      <c r="AJ19" s="240">
        <v>1</v>
      </c>
      <c r="AK19" s="240">
        <v>1</v>
      </c>
      <c r="AL19" s="240">
        <v>1</v>
      </c>
      <c r="AM19" s="95">
        <v>0.1</v>
      </c>
      <c r="AN19" s="95">
        <v>0.1</v>
      </c>
      <c r="AO19" s="95">
        <v>0.1</v>
      </c>
      <c r="AP19" s="95">
        <v>0.1</v>
      </c>
      <c r="AQ19" s="95">
        <v>0.1</v>
      </c>
      <c r="AR19" s="95">
        <v>0.1</v>
      </c>
      <c r="AS19" s="95">
        <v>0.1</v>
      </c>
      <c r="AT19" s="95">
        <v>0.1</v>
      </c>
      <c r="AU19" s="95">
        <v>0.1</v>
      </c>
      <c r="AV19" s="95">
        <v>0.1</v>
      </c>
      <c r="AW19" s="95">
        <v>0.1</v>
      </c>
      <c r="AX19" s="95">
        <v>0.1</v>
      </c>
      <c r="AY19" s="103">
        <f t="shared" ca="1" si="2"/>
        <v>126.00000000000009</v>
      </c>
      <c r="AZ19" s="98">
        <f t="shared" ca="1" si="3"/>
        <v>0.81290322580645213</v>
      </c>
    </row>
    <row r="20" spans="1:52">
      <c r="A20" s="23"/>
      <c r="B20" s="153"/>
      <c r="C20" s="151" t="s">
        <v>701</v>
      </c>
      <c r="D20" s="72" t="s">
        <v>702</v>
      </c>
      <c r="E20" s="35" t="s">
        <v>705</v>
      </c>
      <c r="F20" s="35" t="s">
        <v>706</v>
      </c>
      <c r="G20" s="44" t="s">
        <v>28</v>
      </c>
      <c r="H20" s="234">
        <v>1</v>
      </c>
      <c r="I20" s="234">
        <v>1</v>
      </c>
      <c r="J20" s="234">
        <v>1</v>
      </c>
      <c r="K20" s="234">
        <v>1</v>
      </c>
      <c r="L20" s="234">
        <v>1</v>
      </c>
      <c r="M20" s="234">
        <v>1</v>
      </c>
      <c r="N20" s="241">
        <v>1</v>
      </c>
      <c r="O20" s="241">
        <v>1</v>
      </c>
      <c r="P20" s="241">
        <v>1</v>
      </c>
      <c r="Q20" s="241">
        <v>1</v>
      </c>
      <c r="R20" s="241">
        <v>1</v>
      </c>
      <c r="S20" s="241">
        <v>1</v>
      </c>
      <c r="T20" s="241">
        <v>1</v>
      </c>
      <c r="U20" s="241">
        <v>1</v>
      </c>
      <c r="V20" s="241">
        <v>1</v>
      </c>
      <c r="W20" s="241">
        <v>1</v>
      </c>
      <c r="X20" s="241">
        <v>1</v>
      </c>
      <c r="Y20" s="241">
        <v>1</v>
      </c>
      <c r="Z20" s="241">
        <v>1</v>
      </c>
      <c r="AA20" s="241">
        <v>1</v>
      </c>
      <c r="AB20" s="241">
        <v>1</v>
      </c>
      <c r="AC20" s="238">
        <v>1</v>
      </c>
      <c r="AD20" s="238">
        <v>1</v>
      </c>
      <c r="AE20" s="238">
        <v>1</v>
      </c>
      <c r="AF20" s="238">
        <v>1</v>
      </c>
      <c r="AG20" s="238">
        <v>1</v>
      </c>
      <c r="AH20" s="240">
        <v>1</v>
      </c>
      <c r="AI20" s="240">
        <v>1</v>
      </c>
      <c r="AJ20" s="240">
        <v>1</v>
      </c>
      <c r="AK20" s="240">
        <v>1</v>
      </c>
      <c r="AL20" s="240">
        <v>1</v>
      </c>
      <c r="AM20" s="95">
        <v>0.1</v>
      </c>
      <c r="AN20" s="95">
        <v>0.1</v>
      </c>
      <c r="AO20" s="95">
        <v>0.1</v>
      </c>
      <c r="AP20" s="95">
        <v>0.1</v>
      </c>
      <c r="AQ20" s="95">
        <v>0.1</v>
      </c>
      <c r="AR20" s="95">
        <v>0.1</v>
      </c>
      <c r="AS20" s="95">
        <v>0.1</v>
      </c>
      <c r="AT20" s="95">
        <v>0.1</v>
      </c>
      <c r="AU20" s="95">
        <v>0.1</v>
      </c>
      <c r="AV20" s="95">
        <v>0.1</v>
      </c>
      <c r="AW20" s="95">
        <v>0.1</v>
      </c>
      <c r="AX20" s="95">
        <v>0.1</v>
      </c>
      <c r="AY20" s="103">
        <f t="shared" ca="1" si="2"/>
        <v>161.00000000000009</v>
      </c>
      <c r="AZ20" s="98">
        <f t="shared" ref="AZ20" ca="1" si="4">IF(staffing_planned_net_work_days=0,0,AY20/staffing_planned_net_work_days)</f>
        <v>1.0387096774193554</v>
      </c>
    </row>
    <row r="21" spans="1:52" ht="15.75" customHeight="1">
      <c r="A21" s="23"/>
      <c r="B21" s="153"/>
      <c r="C21" s="151" t="s">
        <v>701</v>
      </c>
      <c r="D21" s="72" t="s">
        <v>702</v>
      </c>
      <c r="E21" s="35" t="s">
        <v>707</v>
      </c>
      <c r="F21" s="35" t="s">
        <v>708</v>
      </c>
      <c r="G21" s="44" t="s">
        <v>22</v>
      </c>
      <c r="H21" s="235">
        <v>0.1</v>
      </c>
      <c r="I21" s="235">
        <v>0.1</v>
      </c>
      <c r="J21" s="235">
        <v>0.1</v>
      </c>
      <c r="K21" s="235">
        <v>0.1</v>
      </c>
      <c r="L21" s="235">
        <v>0.1</v>
      </c>
      <c r="M21" s="235">
        <v>0.1</v>
      </c>
      <c r="N21" s="244">
        <v>0.1</v>
      </c>
      <c r="O21" s="244">
        <v>0.1</v>
      </c>
      <c r="P21" s="244">
        <v>0.1</v>
      </c>
      <c r="Q21" s="244">
        <v>0.1</v>
      </c>
      <c r="R21" s="244">
        <v>0.1</v>
      </c>
      <c r="S21" s="244">
        <v>0.1</v>
      </c>
      <c r="T21" s="244">
        <v>0.1</v>
      </c>
      <c r="U21" s="244">
        <v>0.1</v>
      </c>
      <c r="V21" s="244">
        <v>0.1</v>
      </c>
      <c r="W21" s="244">
        <v>0.1</v>
      </c>
      <c r="X21" s="244">
        <v>0.1</v>
      </c>
      <c r="Y21" s="243">
        <v>0.1</v>
      </c>
      <c r="Z21" s="243">
        <v>0.1</v>
      </c>
      <c r="AA21" s="243">
        <v>0.1</v>
      </c>
      <c r="AB21" s="243">
        <v>0.1</v>
      </c>
      <c r="AC21" s="238">
        <v>0.1</v>
      </c>
      <c r="AD21" s="238">
        <v>0.1</v>
      </c>
      <c r="AE21" s="238">
        <v>0.1</v>
      </c>
      <c r="AF21" s="238">
        <v>0.1</v>
      </c>
      <c r="AG21" s="238">
        <v>0.1</v>
      </c>
      <c r="AH21" s="240">
        <v>0.1</v>
      </c>
      <c r="AI21" s="240">
        <v>0.1</v>
      </c>
      <c r="AJ21" s="240">
        <v>0.1</v>
      </c>
      <c r="AK21" s="240">
        <v>0.1</v>
      </c>
      <c r="AL21" s="240">
        <v>0.1</v>
      </c>
      <c r="AM21" s="95"/>
      <c r="AN21" s="95"/>
      <c r="AO21" s="95"/>
      <c r="AP21" s="95"/>
      <c r="AQ21" s="95"/>
      <c r="AR21" s="95"/>
      <c r="AS21" s="95"/>
      <c r="AT21" s="95"/>
      <c r="AU21" s="95"/>
      <c r="AV21" s="95"/>
      <c r="AW21" s="95"/>
      <c r="AX21" s="95"/>
      <c r="AY21" s="103">
        <f t="shared" ca="1" si="2"/>
        <v>15.500000000000007</v>
      </c>
      <c r="AZ21" s="98">
        <f t="shared" ca="1" si="3"/>
        <v>0.10000000000000005</v>
      </c>
    </row>
    <row r="22" spans="1:52" ht="15.75" customHeight="1">
      <c r="A22" s="23"/>
      <c r="B22" s="153"/>
      <c r="C22" s="151" t="s">
        <v>701</v>
      </c>
      <c r="D22" s="72" t="s">
        <v>702</v>
      </c>
      <c r="E22" s="35" t="s">
        <v>709</v>
      </c>
      <c r="F22" s="35"/>
      <c r="G22" s="44" t="s">
        <v>28</v>
      </c>
      <c r="H22" s="235">
        <v>1</v>
      </c>
      <c r="I22" s="235">
        <v>1</v>
      </c>
      <c r="J22" s="235">
        <v>1</v>
      </c>
      <c r="K22" s="313">
        <v>1</v>
      </c>
      <c r="L22" s="313">
        <v>1</v>
      </c>
      <c r="M22" s="313">
        <v>1</v>
      </c>
      <c r="N22" s="244"/>
      <c r="O22" s="244"/>
      <c r="P22" s="244"/>
      <c r="Q22" s="244"/>
      <c r="R22" s="241"/>
      <c r="S22" s="241"/>
      <c r="T22" s="241"/>
      <c r="U22" s="241"/>
      <c r="V22" s="241"/>
      <c r="W22" s="241"/>
      <c r="X22" s="241"/>
      <c r="Y22" s="241"/>
      <c r="Z22" s="241"/>
      <c r="AA22" s="241"/>
      <c r="AB22" s="241"/>
      <c r="AC22" s="238"/>
      <c r="AD22" s="238"/>
      <c r="AE22" s="238"/>
      <c r="AF22" s="238"/>
      <c r="AG22" s="238"/>
      <c r="AH22" s="240"/>
      <c r="AI22" s="240"/>
      <c r="AJ22" s="240"/>
      <c r="AK22" s="240"/>
      <c r="AL22" s="240"/>
      <c r="AM22" s="95"/>
      <c r="AN22" s="95"/>
      <c r="AO22" s="95"/>
      <c r="AP22" s="95"/>
      <c r="AQ22" s="95"/>
      <c r="AR22" s="95"/>
      <c r="AS22" s="95"/>
      <c r="AT22" s="95"/>
      <c r="AU22" s="95"/>
      <c r="AV22" s="95"/>
      <c r="AW22" s="95"/>
      <c r="AX22" s="95"/>
      <c r="AY22" s="103">
        <f t="shared" ca="1" si="2"/>
        <v>30</v>
      </c>
      <c r="AZ22" s="98">
        <f t="shared" ca="1" si="3"/>
        <v>0.19354838709677419</v>
      </c>
    </row>
    <row r="23" spans="1:52">
      <c r="A23" s="23"/>
      <c r="B23" s="153"/>
      <c r="C23" s="151" t="s">
        <v>701</v>
      </c>
      <c r="D23" s="35" t="s">
        <v>702</v>
      </c>
      <c r="E23" s="35" t="s">
        <v>710</v>
      </c>
      <c r="F23" s="35"/>
      <c r="G23" s="44" t="s">
        <v>25</v>
      </c>
      <c r="H23" s="305">
        <v>0.1</v>
      </c>
      <c r="I23" s="305">
        <v>0.1</v>
      </c>
      <c r="J23" s="305">
        <v>0.1</v>
      </c>
      <c r="K23" s="305">
        <v>0.1</v>
      </c>
      <c r="L23" s="305">
        <v>0.1</v>
      </c>
      <c r="M23" s="305">
        <v>0.1</v>
      </c>
      <c r="N23" s="309">
        <v>0.1</v>
      </c>
      <c r="O23" s="309">
        <v>0.1</v>
      </c>
      <c r="P23" s="309">
        <v>0.1</v>
      </c>
      <c r="Q23" s="309">
        <v>0.1</v>
      </c>
      <c r="R23" s="309">
        <v>0.1</v>
      </c>
      <c r="S23" s="309">
        <v>0.1</v>
      </c>
      <c r="T23" s="309">
        <v>0.1</v>
      </c>
      <c r="U23" s="309">
        <v>0.1</v>
      </c>
      <c r="V23" s="309">
        <v>0.1</v>
      </c>
      <c r="W23" s="309">
        <v>0.1</v>
      </c>
      <c r="X23" s="309">
        <v>0.1</v>
      </c>
      <c r="Y23" s="306">
        <v>0.1</v>
      </c>
      <c r="Z23" s="306">
        <v>0.1</v>
      </c>
      <c r="AA23" s="306">
        <v>0.1</v>
      </c>
      <c r="AB23" s="306">
        <v>0.1</v>
      </c>
      <c r="AC23" s="307">
        <v>0.1</v>
      </c>
      <c r="AD23" s="307">
        <v>0.1</v>
      </c>
      <c r="AE23" s="307">
        <v>0.1</v>
      </c>
      <c r="AF23" s="307">
        <v>0.1</v>
      </c>
      <c r="AG23" s="307">
        <v>0.1</v>
      </c>
      <c r="AH23" s="308">
        <v>0.1</v>
      </c>
      <c r="AI23" s="308">
        <v>0.1</v>
      </c>
      <c r="AJ23" s="308">
        <v>0.1</v>
      </c>
      <c r="AK23" s="308"/>
      <c r="AL23" s="308"/>
      <c r="AM23" s="95"/>
      <c r="AN23" s="95"/>
      <c r="AO23" s="95"/>
      <c r="AP23" s="95"/>
      <c r="AQ23" s="95"/>
      <c r="AR23" s="95"/>
      <c r="AS23" s="95"/>
      <c r="AT23" s="95"/>
      <c r="AU23" s="95"/>
      <c r="AV23" s="95"/>
      <c r="AW23" s="95"/>
      <c r="AX23" s="95"/>
      <c r="AY23" s="103">
        <f t="shared" ca="1" si="2"/>
        <v>14.500000000000007</v>
      </c>
      <c r="AZ23" s="98">
        <f t="shared" ref="AZ23" ca="1" si="5">IF(staffing_planned_net_work_days=0,0,AY23/staffing_planned_net_work_days)</f>
        <v>9.3548387096774238E-2</v>
      </c>
    </row>
    <row r="24" spans="1:52">
      <c r="A24" s="23"/>
      <c r="B24" s="153"/>
      <c r="C24" s="151" t="s">
        <v>711</v>
      </c>
      <c r="D24" s="35" t="s">
        <v>712</v>
      </c>
      <c r="E24" s="35" t="s">
        <v>713</v>
      </c>
      <c r="F24" s="35" t="s">
        <v>704</v>
      </c>
      <c r="G24" s="44" t="s">
        <v>22</v>
      </c>
      <c r="H24" s="235">
        <v>1</v>
      </c>
      <c r="I24" s="235">
        <v>1</v>
      </c>
      <c r="J24" s="235">
        <v>1</v>
      </c>
      <c r="K24" s="235">
        <v>1</v>
      </c>
      <c r="L24" s="235">
        <v>1</v>
      </c>
      <c r="M24" s="235">
        <v>1</v>
      </c>
      <c r="N24" s="243">
        <v>1</v>
      </c>
      <c r="O24" s="243">
        <v>1</v>
      </c>
      <c r="P24" s="243">
        <v>1</v>
      </c>
      <c r="Q24" s="243">
        <v>1</v>
      </c>
      <c r="R24" s="243">
        <v>1</v>
      </c>
      <c r="S24" s="243">
        <v>1</v>
      </c>
      <c r="T24" s="243">
        <v>1</v>
      </c>
      <c r="U24" s="243">
        <v>1</v>
      </c>
      <c r="V24" s="243">
        <v>1</v>
      </c>
      <c r="W24" s="243">
        <v>1</v>
      </c>
      <c r="X24" s="243">
        <v>1</v>
      </c>
      <c r="Y24" s="243">
        <v>1</v>
      </c>
      <c r="Z24" s="243">
        <v>1</v>
      </c>
      <c r="AA24" s="243">
        <v>1</v>
      </c>
      <c r="AB24" s="243">
        <v>1</v>
      </c>
      <c r="AC24" s="238">
        <v>1</v>
      </c>
      <c r="AD24" s="238">
        <v>1</v>
      </c>
      <c r="AE24" s="238">
        <v>1</v>
      </c>
      <c r="AF24" s="238">
        <v>1</v>
      </c>
      <c r="AG24" s="238">
        <v>1</v>
      </c>
      <c r="AH24" s="240">
        <v>1</v>
      </c>
      <c r="AI24" s="240">
        <v>1</v>
      </c>
      <c r="AJ24" s="240">
        <v>1</v>
      </c>
      <c r="AK24" s="240">
        <v>1</v>
      </c>
      <c r="AL24" s="240">
        <v>1</v>
      </c>
      <c r="AM24" s="95">
        <v>0.5</v>
      </c>
      <c r="AN24" s="95">
        <v>0.5</v>
      </c>
      <c r="AO24" s="95">
        <v>0.5</v>
      </c>
      <c r="AP24" s="95">
        <v>0.5</v>
      </c>
      <c r="AQ24" s="95">
        <v>0.5</v>
      </c>
      <c r="AR24" s="95">
        <v>0.5</v>
      </c>
      <c r="AS24" s="95">
        <v>0.5</v>
      </c>
      <c r="AT24" s="95">
        <v>0.5</v>
      </c>
      <c r="AU24" s="95">
        <v>0.5</v>
      </c>
      <c r="AV24" s="95">
        <v>0.5</v>
      </c>
      <c r="AW24" s="95">
        <v>0.5</v>
      </c>
      <c r="AX24" s="95">
        <v>0.5</v>
      </c>
      <c r="AY24" s="103">
        <f t="shared" ca="1" si="2"/>
        <v>185</v>
      </c>
      <c r="AZ24" s="98">
        <f t="shared" ca="1" si="3"/>
        <v>1.1935483870967742</v>
      </c>
    </row>
    <row r="25" spans="1:52" ht="15.75" customHeight="1">
      <c r="A25" s="23"/>
      <c r="B25" s="153"/>
      <c r="C25" s="151" t="s">
        <v>711</v>
      </c>
      <c r="D25" s="35" t="s">
        <v>712</v>
      </c>
      <c r="E25" s="35" t="s">
        <v>709</v>
      </c>
      <c r="F25" s="35"/>
      <c r="G25" s="44" t="s">
        <v>28</v>
      </c>
      <c r="H25" s="235"/>
      <c r="I25" s="235"/>
      <c r="J25" s="235"/>
      <c r="K25" s="235">
        <v>1</v>
      </c>
      <c r="L25" s="235">
        <v>1</v>
      </c>
      <c r="M25" s="235">
        <v>1</v>
      </c>
      <c r="N25" s="241">
        <v>1</v>
      </c>
      <c r="O25" s="241">
        <v>1</v>
      </c>
      <c r="P25" s="241">
        <v>1</v>
      </c>
      <c r="Q25" s="241">
        <v>1</v>
      </c>
      <c r="R25" s="241">
        <v>1</v>
      </c>
      <c r="S25" s="241">
        <v>1</v>
      </c>
      <c r="T25" s="241">
        <v>1</v>
      </c>
      <c r="U25" s="241">
        <v>1</v>
      </c>
      <c r="V25" s="241">
        <v>1</v>
      </c>
      <c r="W25" s="241">
        <v>1</v>
      </c>
      <c r="X25" s="241">
        <v>1</v>
      </c>
      <c r="Y25" s="241">
        <v>1</v>
      </c>
      <c r="Z25" s="241">
        <v>1</v>
      </c>
      <c r="AA25" s="241">
        <v>1</v>
      </c>
      <c r="AB25" s="241">
        <v>1</v>
      </c>
      <c r="AC25" s="238">
        <v>1</v>
      </c>
      <c r="AD25" s="238">
        <v>1</v>
      </c>
      <c r="AE25" s="238">
        <v>1</v>
      </c>
      <c r="AF25" s="238"/>
      <c r="AG25" s="238"/>
      <c r="AH25" s="240"/>
      <c r="AI25" s="240"/>
      <c r="AJ25" s="240"/>
      <c r="AK25" s="240"/>
      <c r="AL25" s="240"/>
      <c r="AM25" s="95"/>
      <c r="AN25" s="95"/>
      <c r="AO25" s="95"/>
      <c r="AP25" s="95"/>
      <c r="AQ25" s="95"/>
      <c r="AR25" s="95"/>
      <c r="AS25" s="95"/>
      <c r="AT25" s="95"/>
      <c r="AU25" s="95"/>
      <c r="AV25" s="95"/>
      <c r="AW25" s="95"/>
      <c r="AX25" s="95"/>
      <c r="AY25" s="103">
        <f t="shared" ca="1" si="2"/>
        <v>105</v>
      </c>
      <c r="AZ25" s="98">
        <f t="shared" ref="AZ25" ca="1" si="6">IF(staffing_planned_net_work_days=0,0,AY25/staffing_planned_net_work_days)</f>
        <v>0.67741935483870963</v>
      </c>
    </row>
    <row r="26" spans="1:52">
      <c r="A26" s="23"/>
      <c r="B26" s="153"/>
      <c r="C26" s="151" t="s">
        <v>711</v>
      </c>
      <c r="D26" s="35" t="s">
        <v>712</v>
      </c>
      <c r="E26" s="35" t="s">
        <v>705</v>
      </c>
      <c r="F26" s="35" t="s">
        <v>706</v>
      </c>
      <c r="G26" s="44" t="s">
        <v>28</v>
      </c>
      <c r="H26" s="235">
        <v>1</v>
      </c>
      <c r="I26" s="235">
        <v>1</v>
      </c>
      <c r="J26" s="235">
        <v>1</v>
      </c>
      <c r="K26" s="235">
        <v>1</v>
      </c>
      <c r="L26" s="235">
        <v>1</v>
      </c>
      <c r="M26" s="235">
        <v>1</v>
      </c>
      <c r="N26" s="243">
        <v>1</v>
      </c>
      <c r="O26" s="243">
        <v>1</v>
      </c>
      <c r="P26" s="243">
        <v>1</v>
      </c>
      <c r="Q26" s="243">
        <v>1</v>
      </c>
      <c r="R26" s="243">
        <v>1</v>
      </c>
      <c r="S26" s="243">
        <v>1</v>
      </c>
      <c r="T26" s="243">
        <v>1</v>
      </c>
      <c r="U26" s="243">
        <v>1</v>
      </c>
      <c r="V26" s="243">
        <v>1</v>
      </c>
      <c r="W26" s="243">
        <v>1</v>
      </c>
      <c r="X26" s="243">
        <v>1</v>
      </c>
      <c r="Y26" s="243">
        <v>1</v>
      </c>
      <c r="Z26" s="243">
        <v>1</v>
      </c>
      <c r="AA26" s="243">
        <v>1</v>
      </c>
      <c r="AB26" s="243">
        <v>1</v>
      </c>
      <c r="AC26" s="238">
        <v>1</v>
      </c>
      <c r="AD26" s="238">
        <v>1</v>
      </c>
      <c r="AE26" s="238">
        <v>1</v>
      </c>
      <c r="AF26" s="238">
        <v>1</v>
      </c>
      <c r="AG26" s="238">
        <v>1</v>
      </c>
      <c r="AH26" s="240">
        <v>1</v>
      </c>
      <c r="AI26" s="240">
        <v>1</v>
      </c>
      <c r="AJ26" s="240">
        <v>1</v>
      </c>
      <c r="AK26" s="240">
        <v>1</v>
      </c>
      <c r="AL26" s="240">
        <v>1</v>
      </c>
      <c r="AM26" s="95"/>
      <c r="AN26" s="95"/>
      <c r="AO26" s="95"/>
      <c r="AP26" s="95"/>
      <c r="AQ26" s="95"/>
      <c r="AR26" s="95"/>
      <c r="AS26" s="95"/>
      <c r="AT26" s="95"/>
      <c r="AU26" s="95"/>
      <c r="AV26" s="95"/>
      <c r="AW26" s="95"/>
      <c r="AX26" s="95"/>
      <c r="AY26" s="103">
        <f t="shared" ca="1" si="2"/>
        <v>155</v>
      </c>
      <c r="AZ26" s="98">
        <f t="shared" ref="AZ26:AZ27" ca="1" si="7">IF(staffing_planned_net_work_days=0,0,AY26/staffing_planned_net_work_days)</f>
        <v>1</v>
      </c>
    </row>
    <row r="27" spans="1:52">
      <c r="A27" s="23"/>
      <c r="B27" s="153"/>
      <c r="C27" s="151" t="s">
        <v>711</v>
      </c>
      <c r="D27" s="35" t="s">
        <v>712</v>
      </c>
      <c r="E27" s="35" t="s">
        <v>705</v>
      </c>
      <c r="F27" s="35" t="s">
        <v>714</v>
      </c>
      <c r="G27" s="44" t="s">
        <v>22</v>
      </c>
      <c r="H27" s="235">
        <v>0.5</v>
      </c>
      <c r="I27" s="235">
        <v>0.5</v>
      </c>
      <c r="J27" s="235">
        <v>0.5</v>
      </c>
      <c r="K27" s="235">
        <v>0.5</v>
      </c>
      <c r="L27" s="235">
        <v>0.5</v>
      </c>
      <c r="M27" s="235">
        <v>0.5</v>
      </c>
      <c r="N27" s="243">
        <v>0.4</v>
      </c>
      <c r="O27" s="243">
        <v>0.4</v>
      </c>
      <c r="P27" s="243">
        <v>0.4</v>
      </c>
      <c r="Q27" s="243">
        <v>0.4</v>
      </c>
      <c r="R27" s="243">
        <v>0.4</v>
      </c>
      <c r="S27" s="243">
        <v>0.4</v>
      </c>
      <c r="T27" s="243">
        <v>0.2</v>
      </c>
      <c r="U27" s="243">
        <v>0.2</v>
      </c>
      <c r="V27" s="243">
        <v>0.2</v>
      </c>
      <c r="W27" s="243">
        <v>0.2</v>
      </c>
      <c r="X27" s="243">
        <v>0.2</v>
      </c>
      <c r="Y27" s="243">
        <v>0.2</v>
      </c>
      <c r="Z27" s="243">
        <v>0.2</v>
      </c>
      <c r="AA27" s="243">
        <v>0.2</v>
      </c>
      <c r="AB27" s="243">
        <v>0.2</v>
      </c>
      <c r="AC27" s="238">
        <v>0.2</v>
      </c>
      <c r="AD27" s="238">
        <v>0.2</v>
      </c>
      <c r="AE27" s="238">
        <v>0.2</v>
      </c>
      <c r="AF27" s="238">
        <v>0.2</v>
      </c>
      <c r="AG27" s="238">
        <v>0.2</v>
      </c>
      <c r="AH27" s="240">
        <v>0.2</v>
      </c>
      <c r="AI27" s="240">
        <v>0.2</v>
      </c>
      <c r="AJ27" s="240">
        <v>0.2</v>
      </c>
      <c r="AK27" s="240">
        <v>0.2</v>
      </c>
      <c r="AL27" s="240">
        <v>0.2</v>
      </c>
      <c r="AM27" s="95">
        <v>0.1</v>
      </c>
      <c r="AN27" s="95">
        <v>0.1</v>
      </c>
      <c r="AO27" s="95">
        <v>0.1</v>
      </c>
      <c r="AP27" s="95">
        <v>0.1</v>
      </c>
      <c r="AQ27" s="95">
        <v>0.1</v>
      </c>
      <c r="AR27" s="95">
        <v>0.1</v>
      </c>
      <c r="AS27" s="95">
        <v>0.1</v>
      </c>
      <c r="AT27" s="95">
        <v>0.1</v>
      </c>
      <c r="AU27" s="95">
        <v>0.1</v>
      </c>
      <c r="AV27" s="95">
        <v>0.1</v>
      </c>
      <c r="AW27" s="95">
        <v>0.1</v>
      </c>
      <c r="AX27" s="95">
        <v>0.1</v>
      </c>
      <c r="AY27" s="103">
        <f t="shared" ca="1" si="2"/>
        <v>51.999999999999972</v>
      </c>
      <c r="AZ27" s="98">
        <f t="shared" ca="1" si="7"/>
        <v>0.33548387096774174</v>
      </c>
    </row>
    <row r="28" spans="1:52">
      <c r="A28" s="23"/>
      <c r="B28" s="153"/>
      <c r="C28" s="151" t="s">
        <v>711</v>
      </c>
      <c r="D28" s="35" t="s">
        <v>712</v>
      </c>
      <c r="E28" s="35" t="s">
        <v>715</v>
      </c>
      <c r="F28" s="35"/>
      <c r="G28" s="44" t="s">
        <v>28</v>
      </c>
      <c r="H28" s="235">
        <v>0.5</v>
      </c>
      <c r="I28" s="235">
        <v>0.5</v>
      </c>
      <c r="J28" s="235">
        <v>0.5</v>
      </c>
      <c r="K28" s="235">
        <v>0.5</v>
      </c>
      <c r="L28" s="235"/>
      <c r="M28" s="235"/>
      <c r="N28" s="243">
        <v>0.5</v>
      </c>
      <c r="O28" s="243">
        <v>0.5</v>
      </c>
      <c r="P28" s="243">
        <v>0.5</v>
      </c>
      <c r="Q28" s="243">
        <v>0.5</v>
      </c>
      <c r="R28" s="243">
        <v>0.5</v>
      </c>
      <c r="S28" s="243">
        <v>0.5</v>
      </c>
      <c r="T28" s="243">
        <v>0.5</v>
      </c>
      <c r="U28" s="243">
        <v>0.5</v>
      </c>
      <c r="V28" s="243">
        <v>0.5</v>
      </c>
      <c r="W28" s="243">
        <v>0.5</v>
      </c>
      <c r="X28" s="243">
        <v>0.5</v>
      </c>
      <c r="Y28" s="243">
        <v>0.5</v>
      </c>
      <c r="Z28" s="243">
        <v>0.5</v>
      </c>
      <c r="AA28" s="243">
        <v>0.5</v>
      </c>
      <c r="AB28" s="243">
        <v>0.5</v>
      </c>
      <c r="AC28" s="238">
        <v>0.5</v>
      </c>
      <c r="AD28" s="238">
        <v>0.5</v>
      </c>
      <c r="AE28" s="238">
        <v>0.5</v>
      </c>
      <c r="AF28" s="238">
        <v>0.5</v>
      </c>
      <c r="AG28" s="238">
        <v>0.5</v>
      </c>
      <c r="AH28" s="240">
        <v>0.5</v>
      </c>
      <c r="AI28" s="240">
        <v>0.5</v>
      </c>
      <c r="AJ28" s="240">
        <v>0.5</v>
      </c>
      <c r="AK28" s="240">
        <v>0.5</v>
      </c>
      <c r="AL28" s="240">
        <v>0.5</v>
      </c>
      <c r="AM28" s="95"/>
      <c r="AN28" s="95"/>
      <c r="AO28" s="95"/>
      <c r="AP28" s="95"/>
      <c r="AQ28" s="95"/>
      <c r="AR28" s="95"/>
      <c r="AS28" s="95"/>
      <c r="AT28" s="95"/>
      <c r="AU28" s="95"/>
      <c r="AV28" s="95"/>
      <c r="AW28" s="95"/>
      <c r="AX28" s="95"/>
      <c r="AY28" s="103">
        <f t="shared" ca="1" si="2"/>
        <v>72.5</v>
      </c>
      <c r="AZ28" s="98">
        <f t="shared" ca="1" si="3"/>
        <v>0.46774193548387094</v>
      </c>
    </row>
    <row r="29" spans="1:52">
      <c r="A29" s="23"/>
      <c r="B29" s="153"/>
      <c r="C29" s="151" t="s">
        <v>716</v>
      </c>
      <c r="D29" s="35" t="s">
        <v>712</v>
      </c>
      <c r="E29" s="35" t="s">
        <v>715</v>
      </c>
      <c r="F29" s="35"/>
      <c r="G29" s="44" t="s">
        <v>28</v>
      </c>
      <c r="H29" s="235"/>
      <c r="I29" s="235"/>
      <c r="J29" s="235"/>
      <c r="K29" s="235"/>
      <c r="L29" s="295">
        <v>1</v>
      </c>
      <c r="M29" s="297">
        <v>1</v>
      </c>
      <c r="O29" s="243"/>
      <c r="P29" s="243"/>
      <c r="Q29" s="243"/>
      <c r="R29" s="243"/>
      <c r="S29" s="243"/>
      <c r="T29" s="243"/>
      <c r="U29" s="243"/>
      <c r="V29" s="243"/>
      <c r="W29" s="243"/>
      <c r="X29" s="243"/>
      <c r="Y29" s="243"/>
      <c r="Z29" s="243"/>
      <c r="AA29" s="243"/>
      <c r="AB29" s="243"/>
      <c r="AC29" s="238"/>
      <c r="AD29" s="238"/>
      <c r="AE29" s="238"/>
      <c r="AF29" s="238"/>
      <c r="AG29" s="238"/>
      <c r="AH29" s="240"/>
      <c r="AI29" s="240"/>
      <c r="AJ29" s="240"/>
      <c r="AK29" s="240"/>
      <c r="AL29" s="240"/>
      <c r="AM29" s="95"/>
      <c r="AN29" s="95"/>
      <c r="AO29" s="95"/>
      <c r="AP29" s="95"/>
      <c r="AQ29" s="95"/>
      <c r="AR29" s="95"/>
      <c r="AS29" s="95"/>
      <c r="AT29" s="95"/>
      <c r="AU29" s="95"/>
      <c r="AV29" s="95"/>
      <c r="AW29" s="95"/>
      <c r="AX29" s="95"/>
      <c r="AY29" s="103">
        <f t="shared" ca="1" si="2"/>
        <v>10</v>
      </c>
      <c r="AZ29" s="98">
        <f t="shared" ref="AZ29:AZ31" ca="1" si="8">IF(staffing_planned_net_work_days=0,0,AY29/staffing_planned_net_work_days)</f>
        <v>6.4516129032258063E-2</v>
      </c>
    </row>
    <row r="30" spans="1:52">
      <c r="A30" s="23"/>
      <c r="B30" s="153"/>
      <c r="C30" s="151" t="s">
        <v>716</v>
      </c>
      <c r="D30" s="35" t="s">
        <v>712</v>
      </c>
      <c r="E30" s="35" t="s">
        <v>717</v>
      </c>
      <c r="F30" s="35"/>
      <c r="G30" s="44" t="s">
        <v>24</v>
      </c>
      <c r="H30" s="235"/>
      <c r="I30" s="235"/>
      <c r="J30" s="235"/>
      <c r="K30" s="235"/>
      <c r="L30" s="235"/>
      <c r="M30" s="235"/>
      <c r="N30" s="243"/>
      <c r="O30" s="243"/>
      <c r="P30" s="243"/>
      <c r="Q30" s="243"/>
      <c r="R30" s="243"/>
      <c r="S30" s="243"/>
      <c r="T30" s="243"/>
      <c r="U30" s="243"/>
      <c r="V30" s="243"/>
      <c r="W30" s="243"/>
      <c r="X30" s="243"/>
      <c r="Y30" s="243"/>
      <c r="Z30" s="243"/>
      <c r="AA30" s="243"/>
      <c r="AB30" s="243"/>
      <c r="AC30" s="295">
        <v>1</v>
      </c>
      <c r="AD30" s="296">
        <v>1</v>
      </c>
      <c r="AE30" s="296">
        <v>1</v>
      </c>
      <c r="AF30" s="295">
        <v>1</v>
      </c>
      <c r="AG30" s="296">
        <v>1</v>
      </c>
      <c r="AH30" s="296">
        <v>1</v>
      </c>
      <c r="AI30" s="296">
        <v>1</v>
      </c>
      <c r="AJ30" s="295">
        <v>1</v>
      </c>
      <c r="AK30" s="296">
        <v>1</v>
      </c>
      <c r="AL30" s="296">
        <v>1</v>
      </c>
      <c r="AM30" s="296">
        <v>1</v>
      </c>
      <c r="AN30" s="296">
        <v>1</v>
      </c>
      <c r="AO30" s="296">
        <v>1</v>
      </c>
      <c r="AP30" s="296">
        <v>1</v>
      </c>
      <c r="AY30" s="103">
        <f t="shared" ca="1" si="2"/>
        <v>70</v>
      </c>
      <c r="AZ30" s="98">
        <f t="shared" ca="1" si="8"/>
        <v>0.45161290322580644</v>
      </c>
    </row>
    <row r="31" spans="1:52">
      <c r="A31" s="23"/>
      <c r="B31" s="153"/>
      <c r="C31" s="151" t="s">
        <v>711</v>
      </c>
      <c r="D31" s="35" t="s">
        <v>712</v>
      </c>
      <c r="E31" s="35" t="s">
        <v>718</v>
      </c>
      <c r="F31" s="35" t="s">
        <v>719</v>
      </c>
      <c r="G31" s="44" t="s">
        <v>24</v>
      </c>
      <c r="H31" s="235">
        <v>0.5</v>
      </c>
      <c r="I31" s="235">
        <v>0.5</v>
      </c>
      <c r="J31" s="235">
        <v>0.5</v>
      </c>
      <c r="K31" s="235">
        <v>0.5</v>
      </c>
      <c r="L31" s="235">
        <v>0.5</v>
      </c>
      <c r="M31" s="235">
        <v>0.5</v>
      </c>
      <c r="N31" s="243">
        <v>0.5</v>
      </c>
      <c r="O31" s="243">
        <v>0.5</v>
      </c>
      <c r="P31" s="243">
        <v>0.5</v>
      </c>
      <c r="Q31" s="243">
        <v>0.5</v>
      </c>
      <c r="R31" s="243">
        <v>0.5</v>
      </c>
      <c r="S31" s="243">
        <v>0.5</v>
      </c>
      <c r="T31" s="243">
        <v>0.5</v>
      </c>
      <c r="U31" s="243">
        <v>0.5</v>
      </c>
      <c r="V31" s="243">
        <v>0.5</v>
      </c>
      <c r="W31" s="243">
        <v>0.5</v>
      </c>
      <c r="X31" s="243">
        <v>0.5</v>
      </c>
      <c r="Y31" s="243">
        <v>0.5</v>
      </c>
      <c r="Z31" s="243">
        <v>0.5</v>
      </c>
      <c r="AA31" s="243">
        <v>0.5</v>
      </c>
      <c r="AB31" s="243">
        <v>0.5</v>
      </c>
      <c r="AC31" s="238">
        <v>0.5</v>
      </c>
      <c r="AD31" s="238">
        <v>0.5</v>
      </c>
      <c r="AE31" s="238">
        <v>0.5</v>
      </c>
      <c r="AF31" s="238">
        <v>0.5</v>
      </c>
      <c r="AG31" s="238">
        <v>0.5</v>
      </c>
      <c r="AH31" s="240">
        <v>0.5</v>
      </c>
      <c r="AI31" s="240">
        <v>0.5</v>
      </c>
      <c r="AJ31" s="240">
        <v>0.5</v>
      </c>
      <c r="AK31" s="240">
        <v>0.5</v>
      </c>
      <c r="AL31" s="240">
        <v>0.5</v>
      </c>
      <c r="AY31" s="103">
        <f t="shared" ca="1" si="2"/>
        <v>77.5</v>
      </c>
      <c r="AZ31" s="98">
        <f t="shared" ca="1" si="8"/>
        <v>0.5</v>
      </c>
    </row>
    <row r="32" spans="1:52">
      <c r="A32" s="23"/>
      <c r="B32" s="153"/>
      <c r="C32" s="151" t="s">
        <v>711</v>
      </c>
      <c r="D32" s="35" t="s">
        <v>712</v>
      </c>
      <c r="E32" s="35" t="s">
        <v>718</v>
      </c>
      <c r="F32" s="35" t="s">
        <v>719</v>
      </c>
      <c r="G32" s="44" t="s">
        <v>30</v>
      </c>
      <c r="H32" s="235">
        <v>0.5</v>
      </c>
      <c r="I32" s="235">
        <v>0.5</v>
      </c>
      <c r="J32" s="235">
        <v>0.5</v>
      </c>
      <c r="K32" s="235">
        <v>0.5</v>
      </c>
      <c r="L32" s="235">
        <v>0.5</v>
      </c>
      <c r="M32" s="235">
        <v>0.5</v>
      </c>
      <c r="N32" s="243">
        <v>0.5</v>
      </c>
      <c r="O32" s="243">
        <v>0.5</v>
      </c>
      <c r="P32" s="243">
        <v>0.5</v>
      </c>
      <c r="Q32" s="243">
        <v>0.5</v>
      </c>
      <c r="R32" s="243">
        <v>0.5</v>
      </c>
      <c r="S32" s="243">
        <v>0.5</v>
      </c>
      <c r="T32" s="243">
        <v>0.5</v>
      </c>
      <c r="U32" s="243">
        <v>0.5</v>
      </c>
      <c r="V32" s="243">
        <v>0.5</v>
      </c>
      <c r="W32" s="243">
        <v>0.5</v>
      </c>
      <c r="X32" s="243">
        <v>0.5</v>
      </c>
      <c r="Y32" s="243">
        <v>0.5</v>
      </c>
      <c r="Z32" s="243">
        <v>0.5</v>
      </c>
      <c r="AA32" s="243">
        <v>0.5</v>
      </c>
      <c r="AB32" s="243">
        <v>0.5</v>
      </c>
      <c r="AC32" s="238">
        <v>0.5</v>
      </c>
      <c r="AD32" s="238">
        <v>0.5</v>
      </c>
      <c r="AE32" s="238">
        <v>0.5</v>
      </c>
      <c r="AF32" s="238">
        <v>0.5</v>
      </c>
      <c r="AG32" s="238">
        <v>0.5</v>
      </c>
      <c r="AH32" s="240">
        <v>0.5</v>
      </c>
      <c r="AI32" s="240">
        <v>0.5</v>
      </c>
      <c r="AJ32" s="240">
        <v>0.5</v>
      </c>
      <c r="AK32" s="240">
        <v>0.5</v>
      </c>
      <c r="AL32" s="240">
        <v>0.5</v>
      </c>
      <c r="AM32" s="95"/>
      <c r="AN32" s="95"/>
      <c r="AO32" s="95"/>
      <c r="AP32" s="95"/>
      <c r="AQ32" s="95"/>
      <c r="AR32" s="95"/>
      <c r="AS32" s="95"/>
      <c r="AT32" s="95"/>
      <c r="AU32" s="95"/>
      <c r="AV32" s="95"/>
      <c r="AW32" s="95"/>
      <c r="AX32" s="95"/>
      <c r="AY32" s="103">
        <f t="shared" ca="1" si="2"/>
        <v>77.5</v>
      </c>
      <c r="AZ32" s="98">
        <f t="shared" ref="AZ32:AZ35" ca="1" si="9">IF(staffing_planned_net_work_days=0,0,AY32/staffing_planned_net_work_days)</f>
        <v>0.5</v>
      </c>
    </row>
    <row r="33" spans="1:54">
      <c r="A33" s="23"/>
      <c r="B33" s="153"/>
      <c r="C33" s="151" t="s">
        <v>711</v>
      </c>
      <c r="D33" s="35" t="s">
        <v>712</v>
      </c>
      <c r="E33" s="35" t="s">
        <v>718</v>
      </c>
      <c r="F33" s="35" t="s">
        <v>719</v>
      </c>
      <c r="G33" s="44" t="s">
        <v>24</v>
      </c>
      <c r="H33" s="235"/>
      <c r="I33" s="235"/>
      <c r="J33" s="235"/>
      <c r="K33" s="235"/>
      <c r="L33" s="235"/>
      <c r="M33" s="235"/>
      <c r="N33" s="243">
        <v>0.5</v>
      </c>
      <c r="O33" s="243">
        <v>0.5</v>
      </c>
      <c r="P33" s="243">
        <v>0.5</v>
      </c>
      <c r="Q33" s="243">
        <v>0.5</v>
      </c>
      <c r="R33" s="243">
        <v>0.5</v>
      </c>
      <c r="S33" s="243">
        <v>0.5</v>
      </c>
      <c r="T33" s="243">
        <v>0.5</v>
      </c>
      <c r="U33" s="243">
        <v>0.5</v>
      </c>
      <c r="V33" s="243">
        <v>0.5</v>
      </c>
      <c r="W33" s="243">
        <v>0.5</v>
      </c>
      <c r="X33" s="243">
        <v>0.5</v>
      </c>
      <c r="Y33" s="243">
        <v>0.5</v>
      </c>
      <c r="Z33" s="243">
        <v>0.5</v>
      </c>
      <c r="AA33" s="243">
        <v>0.5</v>
      </c>
      <c r="AB33" s="243">
        <v>0.5</v>
      </c>
      <c r="AC33" s="238">
        <v>1</v>
      </c>
      <c r="AD33" s="238">
        <v>1</v>
      </c>
      <c r="AE33" s="238">
        <v>1</v>
      </c>
      <c r="AF33" s="238">
        <v>1</v>
      </c>
      <c r="AG33" s="238">
        <v>1</v>
      </c>
      <c r="AH33" s="240">
        <v>1</v>
      </c>
      <c r="AI33" s="240">
        <v>1</v>
      </c>
      <c r="AJ33" s="240">
        <v>1</v>
      </c>
      <c r="AK33" s="240">
        <v>1</v>
      </c>
      <c r="AL33" s="240">
        <v>1</v>
      </c>
      <c r="AM33" s="95"/>
      <c r="AN33" s="95"/>
      <c r="AO33" s="95"/>
      <c r="AP33" s="95"/>
      <c r="AQ33" s="95"/>
      <c r="AR33" s="95"/>
      <c r="AS33" s="95"/>
      <c r="AT33" s="95"/>
      <c r="AU33" s="95"/>
      <c r="AV33" s="95"/>
      <c r="AW33" s="95"/>
      <c r="AX33" s="95"/>
      <c r="AY33" s="103">
        <f t="shared" ca="1" si="2"/>
        <v>87.5</v>
      </c>
      <c r="AZ33" s="98">
        <f t="shared" ca="1" si="9"/>
        <v>0.56451612903225812</v>
      </c>
    </row>
    <row r="34" spans="1:54">
      <c r="A34" s="23"/>
      <c r="B34" s="153"/>
      <c r="C34" s="151" t="s">
        <v>711</v>
      </c>
      <c r="D34" s="35" t="s">
        <v>712</v>
      </c>
      <c r="E34" s="35" t="s">
        <v>720</v>
      </c>
      <c r="F34" s="35" t="s">
        <v>721</v>
      </c>
      <c r="G34" s="44" t="s">
        <v>26</v>
      </c>
      <c r="H34" s="235">
        <v>0.5</v>
      </c>
      <c r="I34" s="235">
        <v>0.5</v>
      </c>
      <c r="J34" s="235">
        <v>0.5</v>
      </c>
      <c r="K34" s="235">
        <v>0.5</v>
      </c>
      <c r="L34" s="235">
        <v>0.5</v>
      </c>
      <c r="M34" s="235">
        <v>0.5</v>
      </c>
      <c r="N34" s="243">
        <v>0.5</v>
      </c>
      <c r="O34" s="243">
        <v>0.5</v>
      </c>
      <c r="P34" s="243">
        <v>0.5</v>
      </c>
      <c r="Q34" s="243">
        <v>0.5</v>
      </c>
      <c r="R34" s="243">
        <v>0.5</v>
      </c>
      <c r="S34" s="243">
        <v>0.5</v>
      </c>
      <c r="T34" s="243">
        <v>0.5</v>
      </c>
      <c r="U34" s="243">
        <v>0.5</v>
      </c>
      <c r="V34" s="243">
        <v>0.5</v>
      </c>
      <c r="W34" s="243">
        <v>0.5</v>
      </c>
      <c r="X34" s="243">
        <v>0.5</v>
      </c>
      <c r="Y34" s="243">
        <v>0.5</v>
      </c>
      <c r="Z34" s="243">
        <v>0.5</v>
      </c>
      <c r="AA34" s="243">
        <v>0.5</v>
      </c>
      <c r="AB34" s="243">
        <v>0.5</v>
      </c>
      <c r="AC34" s="238">
        <v>1</v>
      </c>
      <c r="AD34" s="238">
        <v>1</v>
      </c>
      <c r="AE34" s="238">
        <v>1</v>
      </c>
      <c r="AF34" s="238">
        <v>1</v>
      </c>
      <c r="AG34" s="238">
        <v>1</v>
      </c>
      <c r="AH34" s="240">
        <v>1</v>
      </c>
      <c r="AI34" s="240">
        <v>1</v>
      </c>
      <c r="AJ34" s="240">
        <v>1</v>
      </c>
      <c r="AK34" s="240"/>
      <c r="AL34" s="240"/>
      <c r="AM34" s="95"/>
      <c r="AN34" s="95"/>
      <c r="AO34" s="95"/>
      <c r="AP34" s="95"/>
      <c r="AQ34" s="95"/>
      <c r="AR34" s="95"/>
      <c r="AS34" s="95"/>
      <c r="AT34" s="95"/>
      <c r="AU34" s="95"/>
      <c r="AV34" s="95"/>
      <c r="AW34" s="95"/>
      <c r="AX34" s="95"/>
      <c r="AY34" s="103">
        <f t="shared" ca="1" si="2"/>
        <v>92.5</v>
      </c>
      <c r="AZ34" s="98">
        <f t="shared" ca="1" si="9"/>
        <v>0.59677419354838712</v>
      </c>
    </row>
    <row r="35" spans="1:54">
      <c r="A35" s="23"/>
      <c r="B35" s="153"/>
      <c r="C35" s="151" t="s">
        <v>711</v>
      </c>
      <c r="D35" s="35" t="s">
        <v>712</v>
      </c>
      <c r="E35" s="35" t="s">
        <v>722</v>
      </c>
      <c r="F35" s="35" t="s">
        <v>723</v>
      </c>
      <c r="G35" s="44" t="s">
        <v>25</v>
      </c>
      <c r="H35" s="235">
        <v>0.25</v>
      </c>
      <c r="I35" s="235">
        <v>0.25</v>
      </c>
      <c r="J35" s="235"/>
      <c r="K35" s="235"/>
      <c r="L35" s="235"/>
      <c r="M35" s="235">
        <v>0.25</v>
      </c>
      <c r="N35" s="243">
        <v>0.25</v>
      </c>
      <c r="O35" s="243">
        <v>0.25</v>
      </c>
      <c r="P35" s="243">
        <v>0.25</v>
      </c>
      <c r="Q35" s="243">
        <v>0.25</v>
      </c>
      <c r="R35" s="243">
        <v>0.25</v>
      </c>
      <c r="S35" s="243">
        <v>0.25</v>
      </c>
      <c r="T35" s="243">
        <v>0.25</v>
      </c>
      <c r="U35" s="243">
        <v>0.25</v>
      </c>
      <c r="V35" s="243">
        <v>0.25</v>
      </c>
      <c r="W35" s="243">
        <v>0.25</v>
      </c>
      <c r="X35" s="243">
        <v>0.25</v>
      </c>
      <c r="Y35" s="243">
        <v>0.25</v>
      </c>
      <c r="Z35" s="243">
        <v>0.25</v>
      </c>
      <c r="AA35" s="243">
        <v>0.25</v>
      </c>
      <c r="AB35" s="243">
        <v>0.25</v>
      </c>
      <c r="AC35" s="238">
        <v>0.25</v>
      </c>
      <c r="AD35" s="238">
        <v>0.25</v>
      </c>
      <c r="AE35" s="238">
        <v>0.25</v>
      </c>
      <c r="AF35" s="238">
        <v>0.25</v>
      </c>
      <c r="AG35" s="238">
        <v>0.25</v>
      </c>
      <c r="AH35" s="240">
        <v>0.25</v>
      </c>
      <c r="AI35" s="240">
        <v>0.25</v>
      </c>
      <c r="AJ35" s="240">
        <v>0.25</v>
      </c>
      <c r="AK35" s="240"/>
      <c r="AL35" s="240"/>
      <c r="AM35" s="95"/>
      <c r="AN35" s="95"/>
      <c r="AO35" s="95"/>
      <c r="AP35" s="95"/>
      <c r="AQ35" s="95"/>
      <c r="AR35" s="95"/>
      <c r="AS35" s="95"/>
      <c r="AT35" s="95"/>
      <c r="AU35" s="95"/>
      <c r="AV35" s="95"/>
      <c r="AW35" s="95"/>
      <c r="AX35" s="95"/>
      <c r="AY35" s="103">
        <f t="shared" ca="1" si="2"/>
        <v>32.5</v>
      </c>
      <c r="AZ35" s="98">
        <f t="shared" ca="1" si="9"/>
        <v>0.20967741935483872</v>
      </c>
    </row>
    <row r="36" spans="1:54">
      <c r="A36" s="23"/>
      <c r="B36" s="153"/>
      <c r="C36" s="151" t="s">
        <v>716</v>
      </c>
      <c r="D36" s="35" t="s">
        <v>712</v>
      </c>
      <c r="E36" s="35" t="s">
        <v>722</v>
      </c>
      <c r="F36" s="35" t="s">
        <v>723</v>
      </c>
      <c r="G36" s="44" t="s">
        <v>25</v>
      </c>
      <c r="H36" s="235"/>
      <c r="I36" s="236"/>
      <c r="J36" s="295">
        <v>1</v>
      </c>
      <c r="K36" s="295">
        <v>1</v>
      </c>
      <c r="L36" s="295">
        <v>1</v>
      </c>
      <c r="M36" s="236"/>
      <c r="N36" s="243"/>
      <c r="O36" s="243"/>
      <c r="P36" s="243"/>
      <c r="Q36" s="243"/>
      <c r="R36" s="243"/>
      <c r="S36" s="243"/>
      <c r="T36" s="243"/>
      <c r="U36" s="243"/>
      <c r="V36" s="243"/>
      <c r="W36" s="243"/>
      <c r="X36" s="243"/>
      <c r="Y36" s="243"/>
      <c r="Z36" s="243"/>
      <c r="AA36" s="243"/>
      <c r="AB36" s="243"/>
      <c r="AC36" s="238"/>
      <c r="AD36" s="238"/>
      <c r="AE36" s="238"/>
      <c r="AF36" s="238"/>
      <c r="AG36" s="238"/>
      <c r="AH36" s="240"/>
      <c r="AI36" s="240"/>
      <c r="AJ36" s="240"/>
      <c r="AK36" s="240"/>
      <c r="AL36" s="240"/>
      <c r="AM36" s="95"/>
      <c r="AN36" s="95"/>
      <c r="AO36" s="95"/>
      <c r="AP36" s="95"/>
      <c r="AQ36" s="95"/>
      <c r="AR36" s="95"/>
      <c r="AS36" s="95"/>
      <c r="AT36" s="95"/>
      <c r="AU36" s="95"/>
      <c r="AV36" s="95"/>
      <c r="AW36" s="95"/>
      <c r="AX36" s="95"/>
      <c r="AY36" s="103">
        <f t="shared" ca="1" si="2"/>
        <v>15</v>
      </c>
      <c r="AZ36" s="98">
        <f t="shared" ca="1" si="3"/>
        <v>9.6774193548387094E-2</v>
      </c>
    </row>
    <row r="37" spans="1:54" ht="15.75" customHeight="1">
      <c r="B37" s="337" t="s">
        <v>724</v>
      </c>
      <c r="C37" s="338"/>
      <c r="D37" s="339"/>
      <c r="E37" s="339"/>
      <c r="F37" s="339"/>
      <c r="G37" s="340"/>
      <c r="H37" s="341">
        <f t="shared" ref="H37:AX37" ca="1" si="10">SUM(INDIRECT(ADDRESS(CELL("row", staffing_row_before_oversight)+1, COLUMN()) &amp; ":" &amp; ADDRESS(CELL("row", staffing_row_after_oversight)-1, COLUMN())))*5</f>
        <v>39.75</v>
      </c>
      <c r="I37" s="96">
        <f t="shared" ca="1" si="10"/>
        <v>39.75</v>
      </c>
      <c r="J37" s="96">
        <f t="shared" ca="1" si="10"/>
        <v>43.5</v>
      </c>
      <c r="K37" s="96">
        <f t="shared" ca="1" si="10"/>
        <v>48.5</v>
      </c>
      <c r="L37" s="96">
        <f t="shared" ca="1" si="10"/>
        <v>51</v>
      </c>
      <c r="M37" s="96">
        <f t="shared" ca="1" si="10"/>
        <v>47.25</v>
      </c>
      <c r="N37" s="96">
        <f t="shared" ca="1" si="10"/>
        <v>41.750000000000007</v>
      </c>
      <c r="O37" s="96">
        <f t="shared" ca="1" si="10"/>
        <v>41.750000000000007</v>
      </c>
      <c r="P37" s="96">
        <f t="shared" ca="1" si="10"/>
        <v>41.750000000000007</v>
      </c>
      <c r="Q37" s="96">
        <f t="shared" ca="1" si="10"/>
        <v>41.750000000000007</v>
      </c>
      <c r="R37" s="96">
        <f t="shared" ca="1" si="10"/>
        <v>41.750000000000007</v>
      </c>
      <c r="S37" s="96">
        <f t="shared" ca="1" si="10"/>
        <v>41.750000000000007</v>
      </c>
      <c r="T37" s="96">
        <f t="shared" ca="1" si="10"/>
        <v>38.25</v>
      </c>
      <c r="U37" s="96">
        <f t="shared" ca="1" si="10"/>
        <v>38.25</v>
      </c>
      <c r="V37" s="96">
        <f t="shared" ca="1" si="10"/>
        <v>38.25</v>
      </c>
      <c r="W37" s="96">
        <f t="shared" ca="1" si="10"/>
        <v>38.25</v>
      </c>
      <c r="X37" s="96">
        <f t="shared" ca="1" si="10"/>
        <v>38.25</v>
      </c>
      <c r="Y37" s="96">
        <f t="shared" ca="1" si="10"/>
        <v>38.25</v>
      </c>
      <c r="Z37" s="96">
        <f t="shared" ca="1" si="10"/>
        <v>38.25</v>
      </c>
      <c r="AA37" s="96">
        <f t="shared" ca="1" si="10"/>
        <v>38.25</v>
      </c>
      <c r="AB37" s="96">
        <f t="shared" ca="1" si="10"/>
        <v>38.25</v>
      </c>
      <c r="AC37" s="96">
        <f t="shared" ca="1" si="10"/>
        <v>48.25</v>
      </c>
      <c r="AD37" s="96">
        <f t="shared" ca="1" si="10"/>
        <v>48.25</v>
      </c>
      <c r="AE37" s="96">
        <f t="shared" ca="1" si="10"/>
        <v>48.25</v>
      </c>
      <c r="AF37" s="96">
        <f t="shared" ca="1" si="10"/>
        <v>43.25</v>
      </c>
      <c r="AG37" s="96">
        <f t="shared" ca="1" si="10"/>
        <v>43.25</v>
      </c>
      <c r="AH37" s="96">
        <f t="shared" ca="1" si="10"/>
        <v>45.75</v>
      </c>
      <c r="AI37" s="96">
        <f t="shared" ca="1" si="10"/>
        <v>45.75</v>
      </c>
      <c r="AJ37" s="96">
        <f t="shared" ca="1" si="10"/>
        <v>45.75</v>
      </c>
      <c r="AK37" s="96">
        <f t="shared" ca="1" si="10"/>
        <v>39</v>
      </c>
      <c r="AL37" s="96">
        <f t="shared" ca="1" si="10"/>
        <v>39</v>
      </c>
      <c r="AM37" s="96">
        <f t="shared" ca="1" si="10"/>
        <v>9</v>
      </c>
      <c r="AN37" s="96">
        <f t="shared" ca="1" si="10"/>
        <v>9</v>
      </c>
      <c r="AO37" s="96">
        <f t="shared" ca="1" si="10"/>
        <v>9</v>
      </c>
      <c r="AP37" s="96">
        <f t="shared" ca="1" si="10"/>
        <v>9</v>
      </c>
      <c r="AQ37" s="96">
        <f t="shared" ca="1" si="10"/>
        <v>3.9999999999999996</v>
      </c>
      <c r="AR37" s="96">
        <f t="shared" ca="1" si="10"/>
        <v>3.9999999999999996</v>
      </c>
      <c r="AS37" s="96">
        <f t="shared" ca="1" si="10"/>
        <v>3.9999999999999996</v>
      </c>
      <c r="AT37" s="96">
        <f t="shared" ca="1" si="10"/>
        <v>3.9999999999999996</v>
      </c>
      <c r="AU37" s="96">
        <f t="shared" ca="1" si="10"/>
        <v>3.9999999999999996</v>
      </c>
      <c r="AV37" s="96">
        <f t="shared" ca="1" si="10"/>
        <v>3.9999999999999996</v>
      </c>
      <c r="AW37" s="96">
        <f t="shared" ca="1" si="10"/>
        <v>3.9999999999999996</v>
      </c>
      <c r="AX37" s="96">
        <f t="shared" ca="1" si="10"/>
        <v>3.9999999999999996</v>
      </c>
      <c r="AY37" s="342">
        <f ca="1">SUM(INDIRECT(ADDRESS(ROW(),CELL("col",staffing_column_before_weeks)+1) &amp; ":" &amp; ADDRESS(ROW(),CELL("col", staffing_column_after_weeks)-1)))</f>
        <v>1379</v>
      </c>
      <c r="AZ37" s="99"/>
    </row>
    <row r="38" spans="1:54" ht="15.75" customHeight="1">
      <c r="B38" s="77" t="s">
        <v>725</v>
      </c>
      <c r="C38" s="147"/>
      <c r="D38" s="78"/>
      <c r="E38" s="78"/>
      <c r="F38" s="78"/>
      <c r="G38" s="79"/>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80"/>
    </row>
    <row r="39" spans="1:54" ht="15.75" customHeight="1">
      <c r="A39" s="23"/>
      <c r="B39" s="153"/>
      <c r="C39" s="150"/>
      <c r="D39" s="72"/>
      <c r="E39" s="35"/>
      <c r="F39" s="35"/>
      <c r="G39" s="44"/>
      <c r="H39" s="235"/>
      <c r="I39" s="236"/>
      <c r="J39" s="236"/>
      <c r="K39" s="236"/>
      <c r="L39" s="236"/>
      <c r="M39" s="236"/>
      <c r="N39" s="243"/>
      <c r="O39" s="243"/>
      <c r="P39" s="243"/>
      <c r="Q39" s="243"/>
      <c r="R39" s="243"/>
      <c r="S39" s="243"/>
      <c r="T39" s="243"/>
      <c r="U39" s="243"/>
      <c r="V39" s="243"/>
      <c r="W39" s="243"/>
      <c r="X39" s="243"/>
      <c r="Y39" s="243"/>
      <c r="Z39" s="243"/>
      <c r="AA39" s="243"/>
      <c r="AB39" s="243"/>
      <c r="AC39" s="238"/>
      <c r="AD39" s="238"/>
      <c r="AE39" s="238"/>
      <c r="AF39" s="238"/>
      <c r="AG39" s="238"/>
      <c r="AH39" s="240"/>
      <c r="AI39" s="240"/>
      <c r="AJ39" s="240"/>
      <c r="AK39" s="240"/>
      <c r="AL39" s="240"/>
      <c r="AM39" s="95"/>
      <c r="AN39" s="95"/>
      <c r="AO39" s="95"/>
      <c r="AP39" s="95"/>
      <c r="AQ39" s="95"/>
      <c r="AR39" s="95"/>
      <c r="AS39" s="95"/>
      <c r="AT39" s="95"/>
      <c r="AU39" s="95"/>
      <c r="AV39" s="95"/>
      <c r="AW39" s="95"/>
      <c r="AX39" s="95"/>
      <c r="AY39" s="103">
        <f ca="1">SUM(INDIRECT(ADDRESS(ROW(),CELL("col",staffing_column_before_weeks)+1) &amp; ":" &amp; ADDRESS(ROW(),CELL("col", staffing_column_after_weeks)-1)))*5</f>
        <v>0</v>
      </c>
      <c r="AZ39" s="98">
        <f ca="1">IF(staffing_planned_net_work_days=0,0,AY39/staffing_planned_net_work_days)</f>
        <v>0</v>
      </c>
    </row>
    <row r="40" spans="1:54" ht="15.75" customHeight="1">
      <c r="A40" s="23"/>
      <c r="B40" s="153"/>
      <c r="C40" s="151" t="s">
        <v>701</v>
      </c>
      <c r="D40" s="72" t="s">
        <v>702</v>
      </c>
      <c r="E40" s="35" t="s">
        <v>35</v>
      </c>
      <c r="F40" s="35" t="s">
        <v>35</v>
      </c>
      <c r="G40" s="44" t="s">
        <v>32</v>
      </c>
      <c r="H40" s="235">
        <v>0.5</v>
      </c>
      <c r="I40" s="235">
        <v>0.5</v>
      </c>
      <c r="J40" s="235">
        <v>0.5</v>
      </c>
      <c r="K40" s="235">
        <v>0.5</v>
      </c>
      <c r="L40" s="235">
        <v>0.5</v>
      </c>
      <c r="M40" s="235">
        <v>0.5</v>
      </c>
      <c r="N40" s="243"/>
      <c r="O40" s="243"/>
      <c r="P40" s="243"/>
      <c r="Q40" s="243"/>
      <c r="R40" s="243"/>
      <c r="S40" s="243"/>
      <c r="T40" s="243"/>
      <c r="U40" s="243"/>
      <c r="V40" s="243"/>
      <c r="W40" s="243"/>
      <c r="X40" s="243"/>
      <c r="Y40" s="243"/>
      <c r="Z40" s="243"/>
      <c r="AA40" s="243"/>
      <c r="AB40" s="243"/>
      <c r="AC40" s="238"/>
      <c r="AD40" s="238"/>
      <c r="AE40" s="238"/>
      <c r="AF40" s="238"/>
      <c r="AG40" s="238"/>
      <c r="AH40" s="240"/>
      <c r="AI40" s="240"/>
      <c r="AJ40" s="240"/>
      <c r="AK40" s="240"/>
      <c r="AL40" s="240"/>
      <c r="AM40" s="95"/>
      <c r="AN40" s="95"/>
      <c r="AO40" s="95"/>
      <c r="AP40" s="95"/>
      <c r="AQ40" s="95"/>
      <c r="AR40" s="95"/>
      <c r="AS40" s="95"/>
      <c r="AT40" s="95"/>
      <c r="AU40" s="95"/>
      <c r="AV40" s="95"/>
      <c r="AW40" s="95"/>
      <c r="AX40" s="95"/>
      <c r="AY40" s="103">
        <f t="shared" ref="AY40:AY44" ca="1" si="11">SUM(INDIRECT(ADDRESS(ROW(),CELL("col",staffing_column_before_weeks)+1) &amp; ":" &amp; ADDRESS(ROW(),CELL("col", staffing_column_after_weeks)-1)))*5</f>
        <v>15</v>
      </c>
      <c r="AZ40" s="98">
        <f ca="1">IF(staffing_planned_net_work_days=0,0,AY40/staffing_planned_net_work_days)</f>
        <v>9.6774193548387094E-2</v>
      </c>
    </row>
    <row r="41" spans="1:54" ht="15.75" customHeight="1">
      <c r="A41" s="23"/>
      <c r="B41" s="153"/>
      <c r="C41" s="151" t="s">
        <v>701</v>
      </c>
      <c r="D41" s="72" t="s">
        <v>702</v>
      </c>
      <c r="E41" s="35" t="s">
        <v>726</v>
      </c>
      <c r="F41" s="35" t="s">
        <v>727</v>
      </c>
      <c r="G41" s="44" t="s">
        <v>37</v>
      </c>
      <c r="H41" s="235">
        <v>0.5</v>
      </c>
      <c r="I41" s="235">
        <v>0.5</v>
      </c>
      <c r="J41" s="235">
        <v>0.5</v>
      </c>
      <c r="K41" s="235">
        <v>0.5</v>
      </c>
      <c r="L41" s="235">
        <v>0.5</v>
      </c>
      <c r="M41" s="235">
        <v>0.5</v>
      </c>
      <c r="N41" s="235">
        <v>0.5</v>
      </c>
      <c r="O41" s="235">
        <v>0.5</v>
      </c>
      <c r="P41" s="235">
        <v>0.5</v>
      </c>
      <c r="Q41" s="235">
        <v>0.5</v>
      </c>
      <c r="R41" s="235">
        <v>0.5</v>
      </c>
      <c r="S41" s="235">
        <v>0.5</v>
      </c>
      <c r="T41" s="243"/>
      <c r="U41" s="243"/>
      <c r="V41" s="243"/>
      <c r="W41" s="243"/>
      <c r="X41" s="243"/>
      <c r="Y41" s="243"/>
      <c r="Z41" s="243"/>
      <c r="AA41" s="243"/>
      <c r="AB41" s="243"/>
      <c r="AC41" s="238"/>
      <c r="AD41" s="238"/>
      <c r="AE41" s="238"/>
      <c r="AF41" s="238"/>
      <c r="AG41" s="238"/>
      <c r="AH41" s="240"/>
      <c r="AI41" s="240"/>
      <c r="AJ41" s="240"/>
      <c r="AK41" s="240"/>
      <c r="AL41" s="240"/>
      <c r="AM41" s="95"/>
      <c r="AN41" s="95"/>
      <c r="AO41" s="95"/>
      <c r="AP41" s="95"/>
      <c r="AQ41" s="95"/>
      <c r="AR41" s="95"/>
      <c r="AS41" s="95"/>
      <c r="AT41" s="95"/>
      <c r="AU41" s="95"/>
      <c r="AV41" s="95"/>
      <c r="AW41" s="95"/>
      <c r="AX41" s="95"/>
      <c r="AY41" s="103">
        <f t="shared" ca="1" si="11"/>
        <v>30</v>
      </c>
      <c r="AZ41" s="98">
        <f t="shared" ref="AZ41" ca="1" si="12">IF(staffing_planned_net_work_days=0,0,AY41/staffing_planned_net_work_days)</f>
        <v>0.19354838709677419</v>
      </c>
    </row>
    <row r="42" spans="1:54" ht="15.75" customHeight="1">
      <c r="A42" s="23"/>
      <c r="B42" s="153"/>
      <c r="C42" s="151" t="s">
        <v>701</v>
      </c>
      <c r="D42" s="72" t="s">
        <v>702</v>
      </c>
      <c r="E42" s="35" t="s">
        <v>728</v>
      </c>
      <c r="F42" s="35" t="s">
        <v>729</v>
      </c>
      <c r="G42" s="44" t="s">
        <v>36</v>
      </c>
      <c r="H42" s="235">
        <v>0.5</v>
      </c>
      <c r="I42" s="235">
        <v>0.5</v>
      </c>
      <c r="J42" s="235">
        <v>0.5</v>
      </c>
      <c r="K42" s="235">
        <v>0.5</v>
      </c>
      <c r="L42" s="235">
        <v>0.5</v>
      </c>
      <c r="M42" s="235">
        <v>0.5</v>
      </c>
      <c r="N42" s="243">
        <v>0.25</v>
      </c>
      <c r="O42" s="243">
        <v>0.25</v>
      </c>
      <c r="P42" s="243">
        <v>0.25</v>
      </c>
      <c r="Q42" s="243">
        <v>0.25</v>
      </c>
      <c r="R42" s="243">
        <v>0.25</v>
      </c>
      <c r="S42" s="243">
        <v>0.25</v>
      </c>
      <c r="T42" s="243">
        <v>0.1</v>
      </c>
      <c r="U42" s="243">
        <v>0.1</v>
      </c>
      <c r="V42" s="243">
        <v>0.1</v>
      </c>
      <c r="W42" s="243">
        <v>0.1</v>
      </c>
      <c r="X42" s="243">
        <v>0.1</v>
      </c>
      <c r="Y42" s="243">
        <v>0.1</v>
      </c>
      <c r="Z42" s="243">
        <v>0.1</v>
      </c>
      <c r="AA42" s="243">
        <v>0.1</v>
      </c>
      <c r="AB42" s="243">
        <v>0.1</v>
      </c>
      <c r="AC42" s="238">
        <v>0.1</v>
      </c>
      <c r="AD42" s="238">
        <v>0.1</v>
      </c>
      <c r="AE42" s="238">
        <v>0.1</v>
      </c>
      <c r="AF42" s="238">
        <v>0.1</v>
      </c>
      <c r="AG42" s="238">
        <v>0.1</v>
      </c>
      <c r="AH42" s="240">
        <v>0.1</v>
      </c>
      <c r="AI42" s="240"/>
      <c r="AJ42" s="240"/>
      <c r="AK42" s="240"/>
      <c r="AL42" s="240"/>
      <c r="AM42" s="95"/>
      <c r="AN42" s="95"/>
      <c r="AO42" s="95"/>
      <c r="AP42" s="95"/>
      <c r="AQ42" s="95"/>
      <c r="AR42" s="95"/>
      <c r="AS42" s="95"/>
      <c r="AT42" s="95"/>
      <c r="AU42" s="95"/>
      <c r="AV42" s="95"/>
      <c r="AW42" s="95"/>
      <c r="AX42" s="95"/>
      <c r="AY42" s="103">
        <f t="shared" ca="1" si="11"/>
        <v>29.999999999999972</v>
      </c>
      <c r="AZ42" s="98">
        <f ca="1">IF(staffing_planned_net_work_days=0,0,AY42/staffing_planned_net_work_days)</f>
        <v>0.19354838709677402</v>
      </c>
    </row>
    <row r="43" spans="1:54" ht="15.75" customHeight="1">
      <c r="A43" s="23"/>
      <c r="B43" s="153"/>
      <c r="C43" s="151" t="s">
        <v>701</v>
      </c>
      <c r="D43" s="72" t="s">
        <v>702</v>
      </c>
      <c r="E43" s="35" t="s">
        <v>717</v>
      </c>
      <c r="F43" s="35" t="s">
        <v>706</v>
      </c>
      <c r="G43" s="44" t="s">
        <v>28</v>
      </c>
      <c r="H43" s="236">
        <v>1</v>
      </c>
      <c r="I43" s="236">
        <v>1</v>
      </c>
      <c r="J43" s="236">
        <v>1</v>
      </c>
      <c r="K43" s="236">
        <v>1</v>
      </c>
      <c r="L43" s="236">
        <v>1</v>
      </c>
      <c r="M43" s="236">
        <v>1</v>
      </c>
      <c r="N43" s="243"/>
      <c r="O43" s="243"/>
      <c r="P43" s="243"/>
      <c r="Q43" s="243"/>
      <c r="R43" s="243"/>
      <c r="S43" s="243"/>
      <c r="T43" s="243"/>
      <c r="U43" s="243"/>
      <c r="V43" s="243"/>
      <c r="W43" s="243"/>
      <c r="X43" s="243"/>
      <c r="Y43" s="243"/>
      <c r="Z43" s="243"/>
      <c r="AA43" s="243"/>
      <c r="AB43" s="243"/>
      <c r="AC43" s="238"/>
      <c r="AD43" s="238"/>
      <c r="AE43" s="238"/>
      <c r="AF43" s="238"/>
      <c r="AG43" s="238"/>
      <c r="AH43" s="240"/>
      <c r="AI43" s="240"/>
      <c r="AJ43" s="240"/>
      <c r="AK43" s="240"/>
      <c r="AL43" s="240"/>
      <c r="AM43" s="95"/>
      <c r="AN43" s="95"/>
      <c r="AO43" s="95"/>
      <c r="AP43" s="95"/>
      <c r="AQ43" s="95"/>
      <c r="AR43" s="95"/>
      <c r="AS43" s="95"/>
      <c r="AT43" s="95"/>
      <c r="AU43" s="95"/>
      <c r="AV43" s="95"/>
      <c r="AW43" s="95"/>
      <c r="AX43" s="95"/>
      <c r="AY43" s="103">
        <f t="shared" ca="1" si="2"/>
        <v>30</v>
      </c>
      <c r="AZ43" s="98">
        <f ca="1">IF(staffing_planned_net_work_days=0,0,AY43/staffing_planned_net_work_days)</f>
        <v>0.19354838709677419</v>
      </c>
    </row>
    <row r="44" spans="1:54" ht="15.75" customHeight="1">
      <c r="A44" s="23"/>
      <c r="B44" s="153"/>
      <c r="C44" s="299" t="s">
        <v>701</v>
      </c>
      <c r="D44" s="300" t="s">
        <v>702</v>
      </c>
      <c r="E44" s="301" t="s">
        <v>730</v>
      </c>
      <c r="F44" s="301"/>
      <c r="G44" s="302" t="s">
        <v>36</v>
      </c>
      <c r="H44" s="235"/>
      <c r="I44" s="235"/>
      <c r="J44" s="235"/>
      <c r="K44" s="235"/>
      <c r="L44" s="235"/>
      <c r="M44" s="235"/>
      <c r="N44" s="243">
        <v>0.25</v>
      </c>
      <c r="O44" s="243">
        <v>0.25</v>
      </c>
      <c r="P44" s="243">
        <v>0.25</v>
      </c>
      <c r="Q44" s="243">
        <v>0.25</v>
      </c>
      <c r="R44" s="243"/>
      <c r="S44" s="243"/>
      <c r="T44" s="243"/>
      <c r="U44" s="243"/>
      <c r="V44" s="243"/>
      <c r="W44" s="243"/>
      <c r="X44" s="243"/>
      <c r="Y44" s="243"/>
      <c r="Z44" s="243"/>
      <c r="AA44" s="243"/>
      <c r="AB44" s="243"/>
      <c r="AC44" s="238"/>
      <c r="AD44" s="238"/>
      <c r="AE44" s="238"/>
      <c r="AF44" s="238"/>
      <c r="AG44" s="238"/>
      <c r="AH44" s="240">
        <v>0.25</v>
      </c>
      <c r="AI44" s="240">
        <v>0.25</v>
      </c>
      <c r="AJ44" s="240">
        <v>0.25</v>
      </c>
      <c r="AK44" s="240">
        <v>0.25</v>
      </c>
      <c r="AL44" s="240"/>
      <c r="AM44" s="95"/>
      <c r="AN44" s="95"/>
      <c r="AO44" s="95"/>
      <c r="AP44" s="95"/>
      <c r="AQ44" s="95"/>
      <c r="AR44" s="95"/>
      <c r="AS44" s="95"/>
      <c r="AT44" s="95"/>
      <c r="AU44" s="95"/>
      <c r="AV44" s="95"/>
      <c r="AW44" s="95"/>
      <c r="AX44" s="95"/>
      <c r="AY44" s="103">
        <f t="shared" ca="1" si="11"/>
        <v>10</v>
      </c>
      <c r="AZ44" s="98">
        <f ca="1">IF(staffing_planned_net_work_days=0,0,AY44/staffing_planned_net_work_days)</f>
        <v>6.4516129032258063E-2</v>
      </c>
    </row>
    <row r="45" spans="1:54" ht="15.75" customHeight="1">
      <c r="A45" s="23"/>
      <c r="B45" s="153"/>
      <c r="C45" s="151" t="s">
        <v>711</v>
      </c>
      <c r="D45" s="35" t="s">
        <v>712</v>
      </c>
      <c r="E45" s="35" t="s">
        <v>718</v>
      </c>
      <c r="F45" s="35" t="s">
        <v>719</v>
      </c>
      <c r="G45" s="44" t="s">
        <v>30</v>
      </c>
      <c r="H45" s="235">
        <v>0.5</v>
      </c>
      <c r="I45" s="235">
        <v>0.5</v>
      </c>
      <c r="J45" s="235">
        <v>0.5</v>
      </c>
      <c r="K45" s="235">
        <v>0.5</v>
      </c>
      <c r="L45" s="235">
        <v>0.5</v>
      </c>
      <c r="M45" s="235">
        <v>0.5</v>
      </c>
      <c r="N45" s="243">
        <v>0.5</v>
      </c>
      <c r="O45" s="243">
        <v>0.5</v>
      </c>
      <c r="P45" s="243">
        <v>0.5</v>
      </c>
      <c r="Q45" s="243">
        <v>0.5</v>
      </c>
      <c r="R45" s="243">
        <v>0.5</v>
      </c>
      <c r="S45" s="243">
        <v>0.5</v>
      </c>
      <c r="T45" s="243">
        <v>0.5</v>
      </c>
      <c r="U45" s="243">
        <v>0.5</v>
      </c>
      <c r="V45" s="243">
        <v>0.5</v>
      </c>
      <c r="W45" s="243">
        <v>0.5</v>
      </c>
      <c r="X45" s="243">
        <v>0.5</v>
      </c>
      <c r="Y45" s="243">
        <v>0.5</v>
      </c>
      <c r="Z45" s="243">
        <v>0.5</v>
      </c>
      <c r="AA45" s="243">
        <v>0.5</v>
      </c>
      <c r="AB45" s="243">
        <v>0.5</v>
      </c>
      <c r="AC45" s="238">
        <v>0.5</v>
      </c>
      <c r="AD45" s="238">
        <v>0.5</v>
      </c>
      <c r="AE45" s="238">
        <v>0.5</v>
      </c>
      <c r="AF45" s="238">
        <v>0.5</v>
      </c>
      <c r="AG45" s="238">
        <v>0.5</v>
      </c>
      <c r="AH45" s="240">
        <v>0.5</v>
      </c>
      <c r="AI45" s="240">
        <v>0.5</v>
      </c>
      <c r="AJ45" s="240">
        <v>0.5</v>
      </c>
      <c r="AK45" s="240">
        <v>0.5</v>
      </c>
      <c r="AL45" s="240">
        <v>0.5</v>
      </c>
      <c r="AY45" s="103">
        <f t="shared" ref="AY45:AY82" ca="1" si="13">SUM(INDIRECT(ADDRESS(ROW(),CELL("col",staffing_column_before_weeks)+1) &amp; ":" &amp; ADDRESS(ROW(),CELL("col", staffing_column_after_weeks)-1)))*5</f>
        <v>77.5</v>
      </c>
      <c r="AZ45" s="98">
        <f ca="1">IF(staffing_planned_net_work_days=0,0,AY45/staffing_planned_net_work_days)</f>
        <v>0.5</v>
      </c>
      <c r="BB45" t="s">
        <v>731</v>
      </c>
    </row>
    <row r="46" spans="1:54" ht="15.75" customHeight="1">
      <c r="A46" s="23"/>
      <c r="B46" s="153"/>
      <c r="C46" s="151" t="s">
        <v>711</v>
      </c>
      <c r="D46" s="35" t="s">
        <v>712</v>
      </c>
      <c r="E46" s="35" t="s">
        <v>718</v>
      </c>
      <c r="F46" s="35" t="s">
        <v>719</v>
      </c>
      <c r="G46" s="44" t="s">
        <v>24</v>
      </c>
      <c r="H46" s="235">
        <v>0.5</v>
      </c>
      <c r="I46" s="235">
        <v>0.5</v>
      </c>
      <c r="J46" s="235">
        <v>0.5</v>
      </c>
      <c r="K46" s="235">
        <v>0.5</v>
      </c>
      <c r="L46" s="235">
        <v>0.5</v>
      </c>
      <c r="M46" s="235">
        <v>0.5</v>
      </c>
      <c r="N46" s="243">
        <v>0.5</v>
      </c>
      <c r="O46" s="243">
        <v>0.5</v>
      </c>
      <c r="P46" s="243">
        <v>0.5</v>
      </c>
      <c r="Q46" s="243">
        <v>0.5</v>
      </c>
      <c r="R46" s="243">
        <v>0.5</v>
      </c>
      <c r="S46" s="243">
        <v>0.5</v>
      </c>
      <c r="T46" s="243">
        <v>0.5</v>
      </c>
      <c r="U46" s="243">
        <v>0.5</v>
      </c>
      <c r="V46" s="243">
        <v>0.5</v>
      </c>
      <c r="W46" s="243">
        <v>0.5</v>
      </c>
      <c r="X46" s="243">
        <v>0.5</v>
      </c>
      <c r="Y46" s="243">
        <v>0.5</v>
      </c>
      <c r="Z46" s="243">
        <v>0.5</v>
      </c>
      <c r="AA46" s="243">
        <v>0.5</v>
      </c>
      <c r="AB46" s="243">
        <v>0.5</v>
      </c>
      <c r="AC46" s="238">
        <v>0.5</v>
      </c>
      <c r="AD46" s="238">
        <v>0.5</v>
      </c>
      <c r="AE46" s="238">
        <v>0.5</v>
      </c>
      <c r="AF46" s="238">
        <v>0.5</v>
      </c>
      <c r="AG46" s="238">
        <v>0.5</v>
      </c>
      <c r="AH46" s="240">
        <v>0.5</v>
      </c>
      <c r="AI46" s="240">
        <v>0.5</v>
      </c>
      <c r="AJ46" s="240">
        <v>0.5</v>
      </c>
      <c r="AK46" s="240">
        <v>0.5</v>
      </c>
      <c r="AL46" s="240">
        <v>0.5</v>
      </c>
      <c r="AM46" s="296"/>
      <c r="AN46" s="296"/>
      <c r="AO46" s="95"/>
      <c r="AP46" s="95"/>
      <c r="AQ46" s="95"/>
      <c r="AR46" s="95"/>
      <c r="AS46" s="95"/>
      <c r="AT46" s="95"/>
      <c r="AU46" s="95"/>
      <c r="AV46" s="95"/>
      <c r="AW46" s="95"/>
      <c r="AX46" s="95"/>
      <c r="AY46" s="103">
        <f t="shared" ca="1" si="13"/>
        <v>77.5</v>
      </c>
      <c r="AZ46" s="98">
        <f t="shared" ref="AZ46:AZ57" ca="1" si="14">IF(staffing_planned_net_work_days=0,0,AY46/staffing_planned_net_work_days)</f>
        <v>0.5</v>
      </c>
      <c r="BB46" t="s">
        <v>732</v>
      </c>
    </row>
    <row r="47" spans="1:54" ht="15.75" customHeight="1">
      <c r="A47" s="23"/>
      <c r="B47" s="153"/>
      <c r="C47" s="151" t="s">
        <v>711</v>
      </c>
      <c r="D47" s="35" t="s">
        <v>712</v>
      </c>
      <c r="E47" s="35" t="s">
        <v>718</v>
      </c>
      <c r="F47" s="35" t="s">
        <v>719</v>
      </c>
      <c r="G47" s="44" t="s">
        <v>24</v>
      </c>
      <c r="H47" s="235">
        <v>1</v>
      </c>
      <c r="I47" s="235">
        <v>1</v>
      </c>
      <c r="J47" s="235">
        <v>1</v>
      </c>
      <c r="K47" s="235">
        <v>1</v>
      </c>
      <c r="L47" s="235">
        <v>1</v>
      </c>
      <c r="M47" s="235">
        <v>1</v>
      </c>
      <c r="N47" s="243">
        <v>0.5</v>
      </c>
      <c r="O47" s="243">
        <v>0.5</v>
      </c>
      <c r="P47" s="243">
        <v>0.5</v>
      </c>
      <c r="Q47" s="243">
        <v>0.5</v>
      </c>
      <c r="R47" s="243">
        <v>0.5</v>
      </c>
      <c r="S47" s="243">
        <v>0.5</v>
      </c>
      <c r="T47" s="243">
        <v>0.5</v>
      </c>
      <c r="U47" s="243">
        <v>0.5</v>
      </c>
      <c r="V47" s="243">
        <v>0.5</v>
      </c>
      <c r="W47" s="243">
        <v>0.5</v>
      </c>
      <c r="X47" s="243">
        <v>0.5</v>
      </c>
      <c r="Y47" s="243">
        <v>0.5</v>
      </c>
      <c r="Z47" s="243">
        <v>0.5</v>
      </c>
      <c r="AA47" s="243">
        <v>0.5</v>
      </c>
      <c r="AB47" s="243">
        <v>0.5</v>
      </c>
      <c r="AC47" s="238"/>
      <c r="AD47" s="238"/>
      <c r="AE47" s="238"/>
      <c r="AF47" s="238"/>
      <c r="AG47" s="238"/>
      <c r="AH47" s="240"/>
      <c r="AI47" s="240"/>
      <c r="AJ47" s="240"/>
      <c r="AK47" s="240"/>
      <c r="AL47" s="240"/>
      <c r="AM47" s="95"/>
      <c r="AN47" s="95"/>
      <c r="AO47" s="95"/>
      <c r="AP47" s="95"/>
      <c r="AQ47" s="95"/>
      <c r="AR47" s="95"/>
      <c r="AS47" s="95"/>
      <c r="AT47" s="95"/>
      <c r="AU47" s="95"/>
      <c r="AV47" s="95"/>
      <c r="AW47" s="95"/>
      <c r="AX47" s="95"/>
      <c r="AY47" s="103">
        <f t="shared" ca="1" si="13"/>
        <v>67.5</v>
      </c>
      <c r="AZ47" s="98">
        <f ca="1">IF(staffing_planned_net_work_days=0,0,AY47/staffing_planned_net_work_days)</f>
        <v>0.43548387096774194</v>
      </c>
      <c r="BB47" t="s">
        <v>733</v>
      </c>
    </row>
    <row r="48" spans="1:54" ht="15.75" customHeight="1">
      <c r="A48" s="23"/>
      <c r="B48" s="153"/>
      <c r="C48" s="151" t="s">
        <v>711</v>
      </c>
      <c r="D48" s="35" t="s">
        <v>712</v>
      </c>
      <c r="E48" s="35" t="s">
        <v>717</v>
      </c>
      <c r="F48" s="35"/>
      <c r="G48" s="44" t="s">
        <v>24</v>
      </c>
      <c r="H48" s="235">
        <v>1</v>
      </c>
      <c r="I48" s="235">
        <v>1</v>
      </c>
      <c r="J48" s="235">
        <v>1</v>
      </c>
      <c r="K48" s="235">
        <v>1</v>
      </c>
      <c r="L48" s="235">
        <v>1</v>
      </c>
      <c r="M48" s="235">
        <v>1</v>
      </c>
      <c r="N48" s="243">
        <v>1</v>
      </c>
      <c r="O48" s="243">
        <v>1</v>
      </c>
      <c r="P48" s="243">
        <v>1</v>
      </c>
      <c r="Q48" s="243">
        <v>1</v>
      </c>
      <c r="R48" s="243">
        <v>1</v>
      </c>
      <c r="S48" s="243">
        <v>1</v>
      </c>
      <c r="T48" s="243">
        <v>1</v>
      </c>
      <c r="U48" s="243">
        <v>1</v>
      </c>
      <c r="V48" s="243">
        <v>1</v>
      </c>
      <c r="W48" s="243">
        <v>1</v>
      </c>
      <c r="X48" s="243">
        <v>1</v>
      </c>
      <c r="Y48" s="243">
        <v>1</v>
      </c>
      <c r="Z48" s="243">
        <v>1</v>
      </c>
      <c r="AA48" s="243">
        <v>1</v>
      </c>
      <c r="AB48" s="243">
        <v>1</v>
      </c>
      <c r="AC48" s="297"/>
      <c r="AD48" s="297"/>
      <c r="AE48" s="297"/>
      <c r="AF48" s="297"/>
      <c r="AG48" s="297"/>
      <c r="AH48" s="297"/>
      <c r="AI48" s="297"/>
      <c r="AJ48" s="297"/>
      <c r="AK48" s="297"/>
      <c r="AL48" s="297"/>
      <c r="AM48" s="297"/>
      <c r="AY48" s="103">
        <f t="shared" ca="1" si="13"/>
        <v>105</v>
      </c>
      <c r="AZ48" s="98">
        <f ca="1">IF(staffing_planned_net_work_days=0,0,AY48/staffing_planned_net_work_days)</f>
        <v>0.67741935483870963</v>
      </c>
      <c r="BB48" t="s">
        <v>734</v>
      </c>
    </row>
    <row r="49" spans="1:54" ht="15.75" customHeight="1">
      <c r="A49" s="23"/>
      <c r="B49" s="153"/>
      <c r="C49" s="151" t="s">
        <v>711</v>
      </c>
      <c r="D49" s="35" t="s">
        <v>712</v>
      </c>
      <c r="E49" s="35" t="s">
        <v>735</v>
      </c>
      <c r="F49" s="35" t="s">
        <v>736</v>
      </c>
      <c r="G49" s="44" t="s">
        <v>24</v>
      </c>
      <c r="H49" s="235">
        <v>1</v>
      </c>
      <c r="I49" s="236">
        <v>1</v>
      </c>
      <c r="J49" s="236">
        <v>1</v>
      </c>
      <c r="K49" s="236">
        <v>1</v>
      </c>
      <c r="L49" s="236">
        <v>1</v>
      </c>
      <c r="M49" s="236">
        <v>1</v>
      </c>
      <c r="N49" s="243">
        <v>1</v>
      </c>
      <c r="O49" s="243">
        <v>1</v>
      </c>
      <c r="P49" s="243">
        <v>1</v>
      </c>
      <c r="Q49" s="243">
        <v>1</v>
      </c>
      <c r="R49" s="243">
        <v>1</v>
      </c>
      <c r="S49" s="243">
        <v>1</v>
      </c>
      <c r="T49" s="243">
        <v>1</v>
      </c>
      <c r="U49" s="243">
        <v>1</v>
      </c>
      <c r="V49" s="243">
        <v>1</v>
      </c>
      <c r="W49" s="243">
        <v>1</v>
      </c>
      <c r="X49" s="243">
        <v>1</v>
      </c>
      <c r="Y49" s="243">
        <v>1</v>
      </c>
      <c r="Z49" s="243">
        <v>1</v>
      </c>
      <c r="AA49" s="243">
        <v>1</v>
      </c>
      <c r="AB49" s="243">
        <v>1</v>
      </c>
      <c r="AC49" s="238">
        <v>1</v>
      </c>
      <c r="AD49" s="238">
        <v>1</v>
      </c>
      <c r="AE49" s="238">
        <v>1</v>
      </c>
      <c r="AF49" s="238">
        <v>1</v>
      </c>
      <c r="AG49" s="238">
        <v>1</v>
      </c>
      <c r="AH49" s="240">
        <v>1</v>
      </c>
      <c r="AI49" s="240">
        <v>1</v>
      </c>
      <c r="AJ49" s="240">
        <v>1</v>
      </c>
      <c r="AK49" s="240"/>
      <c r="AL49" s="240"/>
      <c r="AM49" s="95"/>
      <c r="AN49" s="95"/>
      <c r="AO49" s="95"/>
      <c r="AP49" s="95"/>
      <c r="AQ49" s="95"/>
      <c r="AR49" s="95"/>
      <c r="AS49" s="95"/>
      <c r="AT49" s="95"/>
      <c r="AU49" s="95"/>
      <c r="AV49" s="95"/>
      <c r="AW49" s="95"/>
      <c r="AX49" s="95"/>
      <c r="AY49" s="103">
        <f t="shared" ca="1" si="13"/>
        <v>145</v>
      </c>
      <c r="AZ49" s="98">
        <f ca="1">IF(staffing_planned_net_work_days=0,0,AY49/staffing_planned_net_work_days)</f>
        <v>0.93548387096774188</v>
      </c>
      <c r="BB49" t="s">
        <v>737</v>
      </c>
    </row>
    <row r="50" spans="1:54" ht="15.75" customHeight="1">
      <c r="A50" s="23"/>
      <c r="B50" s="153"/>
      <c r="C50" s="151" t="s">
        <v>711</v>
      </c>
      <c r="D50" s="35" t="s">
        <v>712</v>
      </c>
      <c r="E50" s="35" t="s">
        <v>735</v>
      </c>
      <c r="F50" s="35" t="s">
        <v>736</v>
      </c>
      <c r="G50" s="44" t="s">
        <v>24</v>
      </c>
      <c r="H50" s="235">
        <v>1</v>
      </c>
      <c r="I50" s="236">
        <v>1</v>
      </c>
      <c r="J50" s="236">
        <v>1</v>
      </c>
      <c r="K50" s="236">
        <v>1</v>
      </c>
      <c r="L50" s="236">
        <v>1</v>
      </c>
      <c r="M50" s="236">
        <v>1</v>
      </c>
      <c r="N50" s="243">
        <v>1</v>
      </c>
      <c r="O50" s="243">
        <v>1</v>
      </c>
      <c r="P50" s="243">
        <v>1</v>
      </c>
      <c r="Q50" s="243">
        <v>1</v>
      </c>
      <c r="R50" s="243">
        <v>1</v>
      </c>
      <c r="S50" s="243">
        <v>1</v>
      </c>
      <c r="T50" s="243">
        <v>1</v>
      </c>
      <c r="U50" s="243">
        <v>1</v>
      </c>
      <c r="V50" s="243">
        <v>1</v>
      </c>
      <c r="W50" s="243">
        <v>1</v>
      </c>
      <c r="X50" s="243">
        <v>1</v>
      </c>
      <c r="Y50" s="243">
        <v>1</v>
      </c>
      <c r="Z50" s="243">
        <v>1</v>
      </c>
      <c r="AA50" s="243">
        <v>1</v>
      </c>
      <c r="AB50" s="243">
        <v>1</v>
      </c>
      <c r="AC50" s="238">
        <v>1</v>
      </c>
      <c r="AD50" s="238">
        <v>1</v>
      </c>
      <c r="AE50" s="238">
        <v>1</v>
      </c>
      <c r="AF50" s="238">
        <v>1</v>
      </c>
      <c r="AG50" s="238">
        <v>1</v>
      </c>
      <c r="AH50" s="240">
        <v>1</v>
      </c>
      <c r="AI50" s="240">
        <v>1</v>
      </c>
      <c r="AJ50" s="240">
        <v>1</v>
      </c>
      <c r="AK50" s="240">
        <v>1</v>
      </c>
      <c r="AL50" s="240">
        <v>1</v>
      </c>
      <c r="AM50" s="95">
        <v>1</v>
      </c>
      <c r="AN50" s="95">
        <v>1</v>
      </c>
      <c r="AO50" s="95">
        <v>1</v>
      </c>
      <c r="AP50" s="95">
        <v>1</v>
      </c>
      <c r="AQ50" s="95"/>
      <c r="AR50" s="95"/>
      <c r="AS50" s="95"/>
      <c r="AT50" s="95"/>
      <c r="AU50" s="95"/>
      <c r="AV50" s="95"/>
      <c r="AW50" s="95"/>
      <c r="AX50" s="95"/>
      <c r="AY50" s="103">
        <f t="shared" ca="1" si="13"/>
        <v>175</v>
      </c>
      <c r="AZ50" s="98">
        <f t="shared" ref="AZ50" ca="1" si="15">IF(staffing_planned_net_work_days=0,0,AY50/staffing_planned_net_work_days)</f>
        <v>1.1290322580645162</v>
      </c>
      <c r="BB50" t="s">
        <v>738</v>
      </c>
    </row>
    <row r="51" spans="1:54" ht="15.75" customHeight="1">
      <c r="A51" s="23"/>
      <c r="B51" s="153"/>
      <c r="C51" s="151" t="s">
        <v>711</v>
      </c>
      <c r="D51" s="35" t="s">
        <v>712</v>
      </c>
      <c r="E51" s="35" t="s">
        <v>735</v>
      </c>
      <c r="F51" s="35" t="s">
        <v>739</v>
      </c>
      <c r="G51" s="44" t="s">
        <v>24</v>
      </c>
      <c r="H51" s="235">
        <v>1</v>
      </c>
      <c r="I51" s="236">
        <v>1</v>
      </c>
      <c r="J51" s="236">
        <v>1</v>
      </c>
      <c r="K51" s="236">
        <v>1</v>
      </c>
      <c r="L51" s="236">
        <v>1</v>
      </c>
      <c r="M51" s="236">
        <v>1</v>
      </c>
      <c r="N51" s="243">
        <v>1</v>
      </c>
      <c r="O51" s="243">
        <v>1</v>
      </c>
      <c r="P51" s="243">
        <v>1</v>
      </c>
      <c r="Q51" s="243">
        <v>1</v>
      </c>
      <c r="R51" s="243">
        <v>1</v>
      </c>
      <c r="S51" s="243">
        <v>1</v>
      </c>
      <c r="T51" s="243">
        <v>1</v>
      </c>
      <c r="U51" s="243">
        <v>1</v>
      </c>
      <c r="V51" s="243">
        <v>1</v>
      </c>
      <c r="W51" s="243">
        <v>1</v>
      </c>
      <c r="X51" s="243">
        <v>1</v>
      </c>
      <c r="Y51" s="243">
        <v>1</v>
      </c>
      <c r="Z51" s="243">
        <v>1</v>
      </c>
      <c r="AA51" s="243">
        <v>1</v>
      </c>
      <c r="AB51" s="243">
        <v>1</v>
      </c>
      <c r="AC51" s="238">
        <v>1</v>
      </c>
      <c r="AD51" s="238">
        <v>1</v>
      </c>
      <c r="AE51" s="238">
        <v>1</v>
      </c>
      <c r="AF51" s="238">
        <v>1</v>
      </c>
      <c r="AG51" s="238">
        <v>1</v>
      </c>
      <c r="AH51" s="240">
        <v>1</v>
      </c>
      <c r="AI51" s="240">
        <v>1</v>
      </c>
      <c r="AJ51" s="240">
        <v>1</v>
      </c>
      <c r="AK51" s="240">
        <v>1</v>
      </c>
      <c r="AL51" s="240">
        <v>1</v>
      </c>
      <c r="AM51" s="95">
        <v>1</v>
      </c>
      <c r="AN51" s="95">
        <v>1</v>
      </c>
      <c r="AO51" s="95">
        <v>1</v>
      </c>
      <c r="AP51" s="95">
        <v>1</v>
      </c>
      <c r="AQ51" s="95"/>
      <c r="AR51" s="95"/>
      <c r="AS51" s="95"/>
      <c r="AT51" s="95"/>
      <c r="AU51" s="95"/>
      <c r="AV51" s="95"/>
      <c r="AW51" s="95"/>
      <c r="AX51" s="95"/>
      <c r="AY51" s="103">
        <f t="shared" ca="1" si="13"/>
        <v>175</v>
      </c>
      <c r="AZ51" s="98">
        <f ca="1">IF(staffing_planned_net_work_days=0,0,AY51/staffing_planned_net_work_days)</f>
        <v>1.1290322580645162</v>
      </c>
      <c r="BB51" t="s">
        <v>740</v>
      </c>
    </row>
    <row r="52" spans="1:54" ht="15.75" customHeight="1">
      <c r="A52" s="23"/>
      <c r="B52" s="153"/>
      <c r="C52" s="151" t="s">
        <v>711</v>
      </c>
      <c r="D52" s="35" t="s">
        <v>712</v>
      </c>
      <c r="E52" s="35" t="s">
        <v>735</v>
      </c>
      <c r="F52" s="35" t="s">
        <v>739</v>
      </c>
      <c r="G52" s="44" t="s">
        <v>24</v>
      </c>
      <c r="H52" s="235">
        <v>1</v>
      </c>
      <c r="I52" s="235">
        <v>1</v>
      </c>
      <c r="J52" s="235">
        <v>1</v>
      </c>
      <c r="K52" s="235">
        <v>1</v>
      </c>
      <c r="L52" s="235">
        <v>1</v>
      </c>
      <c r="M52" s="235">
        <v>1</v>
      </c>
      <c r="N52" s="243">
        <v>1</v>
      </c>
      <c r="O52" s="243">
        <v>1</v>
      </c>
      <c r="P52" s="243">
        <v>1</v>
      </c>
      <c r="Q52" s="243">
        <v>1</v>
      </c>
      <c r="R52" s="243">
        <v>1</v>
      </c>
      <c r="S52" s="243">
        <v>1</v>
      </c>
      <c r="T52" s="243">
        <v>1</v>
      </c>
      <c r="U52" s="243">
        <v>1</v>
      </c>
      <c r="V52" s="243">
        <v>1</v>
      </c>
      <c r="W52" s="243">
        <v>1</v>
      </c>
      <c r="X52" s="243">
        <v>1</v>
      </c>
      <c r="Y52" s="243">
        <v>1</v>
      </c>
      <c r="Z52" s="243">
        <v>1</v>
      </c>
      <c r="AA52" s="243">
        <v>1</v>
      </c>
      <c r="AB52" s="243">
        <v>1</v>
      </c>
      <c r="AC52" s="238">
        <v>1</v>
      </c>
      <c r="AD52" s="238">
        <v>1</v>
      </c>
      <c r="AE52" s="238">
        <v>1</v>
      </c>
      <c r="AF52" s="238">
        <v>1</v>
      </c>
      <c r="AG52" s="238">
        <v>1</v>
      </c>
      <c r="AH52" s="240">
        <v>1</v>
      </c>
      <c r="AI52" s="240">
        <v>1</v>
      </c>
      <c r="AJ52" s="240">
        <v>1</v>
      </c>
      <c r="AK52" s="240">
        <v>1</v>
      </c>
      <c r="AL52" s="240">
        <v>1</v>
      </c>
      <c r="AM52" s="95">
        <v>1</v>
      </c>
      <c r="AN52" s="95">
        <v>1</v>
      </c>
      <c r="AO52" s="95">
        <v>1</v>
      </c>
      <c r="AP52" s="95">
        <v>1</v>
      </c>
      <c r="AQ52" s="95"/>
      <c r="AR52" s="95"/>
      <c r="AS52" s="95"/>
      <c r="AT52" s="95"/>
      <c r="AU52" s="95"/>
      <c r="AV52" s="95"/>
      <c r="AW52" s="95"/>
      <c r="AX52" s="95"/>
      <c r="AY52" s="103">
        <f t="shared" ca="1" si="13"/>
        <v>175</v>
      </c>
      <c r="AZ52" s="98">
        <f t="shared" ca="1" si="14"/>
        <v>1.1290322580645162</v>
      </c>
      <c r="BB52" t="s">
        <v>741</v>
      </c>
    </row>
    <row r="53" spans="1:54" ht="15.75" customHeight="1">
      <c r="A53" s="23"/>
      <c r="B53" s="153"/>
      <c r="C53" s="151" t="s">
        <v>711</v>
      </c>
      <c r="D53" s="35" t="s">
        <v>712</v>
      </c>
      <c r="E53" s="35" t="s">
        <v>735</v>
      </c>
      <c r="F53" s="35" t="s">
        <v>739</v>
      </c>
      <c r="G53" s="44" t="s">
        <v>24</v>
      </c>
      <c r="H53" s="235">
        <v>1</v>
      </c>
      <c r="I53" s="235">
        <v>1</v>
      </c>
      <c r="J53" s="235">
        <v>1</v>
      </c>
      <c r="K53" s="235">
        <v>1</v>
      </c>
      <c r="L53" s="235">
        <v>1</v>
      </c>
      <c r="M53" s="235">
        <v>1</v>
      </c>
      <c r="N53" s="243">
        <v>1</v>
      </c>
      <c r="O53" s="243">
        <v>1</v>
      </c>
      <c r="P53" s="243">
        <v>1</v>
      </c>
      <c r="Q53" s="243">
        <v>1</v>
      </c>
      <c r="R53" s="243">
        <v>1</v>
      </c>
      <c r="S53" s="243">
        <v>1</v>
      </c>
      <c r="T53" s="243">
        <v>1</v>
      </c>
      <c r="U53" s="243">
        <v>1</v>
      </c>
      <c r="V53" s="243">
        <v>1</v>
      </c>
      <c r="W53" s="243">
        <v>1</v>
      </c>
      <c r="X53" s="243">
        <v>1</v>
      </c>
      <c r="Y53" s="243">
        <v>1</v>
      </c>
      <c r="Z53" s="243">
        <v>1</v>
      </c>
      <c r="AA53" s="243">
        <v>1</v>
      </c>
      <c r="AB53" s="243">
        <v>1</v>
      </c>
      <c r="AC53" s="238">
        <v>1</v>
      </c>
      <c r="AD53" s="238">
        <v>1</v>
      </c>
      <c r="AE53" s="238">
        <v>1</v>
      </c>
      <c r="AF53" s="238">
        <v>1</v>
      </c>
      <c r="AG53" s="238">
        <v>1</v>
      </c>
      <c r="AH53" s="240">
        <v>1</v>
      </c>
      <c r="AI53" s="240">
        <v>1</v>
      </c>
      <c r="AJ53" s="240">
        <v>1</v>
      </c>
      <c r="AK53" s="240">
        <v>1</v>
      </c>
      <c r="AL53" s="240">
        <v>1</v>
      </c>
      <c r="AM53" s="95">
        <v>1</v>
      </c>
      <c r="AN53" s="95">
        <v>1</v>
      </c>
      <c r="AO53" s="95">
        <v>1</v>
      </c>
      <c r="AP53" s="95">
        <v>1</v>
      </c>
      <c r="AQ53" s="95"/>
      <c r="AR53" s="95"/>
      <c r="AS53" s="95"/>
      <c r="AT53" s="95"/>
      <c r="AU53" s="95"/>
      <c r="AV53" s="95"/>
      <c r="AW53" s="95"/>
      <c r="AX53" s="95"/>
      <c r="AY53" s="103">
        <f t="shared" ca="1" si="13"/>
        <v>175</v>
      </c>
      <c r="AZ53" s="98">
        <f t="shared" ca="1" si="14"/>
        <v>1.1290322580645162</v>
      </c>
      <c r="BB53" t="s">
        <v>742</v>
      </c>
    </row>
    <row r="54" spans="1:54" ht="15.75" customHeight="1">
      <c r="A54" s="23"/>
      <c r="B54" s="153"/>
      <c r="C54" s="151" t="s">
        <v>711</v>
      </c>
      <c r="D54" s="35" t="s">
        <v>712</v>
      </c>
      <c r="E54" s="35" t="s">
        <v>743</v>
      </c>
      <c r="F54" s="35" t="s">
        <v>739</v>
      </c>
      <c r="G54" s="44" t="s">
        <v>24</v>
      </c>
      <c r="H54" s="235">
        <v>1</v>
      </c>
      <c r="I54" s="235">
        <v>1</v>
      </c>
      <c r="J54" s="235">
        <v>1</v>
      </c>
      <c r="K54" s="235">
        <v>1</v>
      </c>
      <c r="L54" s="235">
        <v>1</v>
      </c>
      <c r="M54" s="235">
        <v>1</v>
      </c>
      <c r="N54" s="243">
        <v>1</v>
      </c>
      <c r="O54" s="243">
        <v>1</v>
      </c>
      <c r="P54" s="243">
        <v>1</v>
      </c>
      <c r="Q54" s="243">
        <v>1</v>
      </c>
      <c r="R54" s="243">
        <v>1</v>
      </c>
      <c r="S54" s="243">
        <v>1</v>
      </c>
      <c r="T54" s="243">
        <v>1</v>
      </c>
      <c r="U54" s="243">
        <v>1</v>
      </c>
      <c r="V54" s="243">
        <v>1</v>
      </c>
      <c r="W54" s="243">
        <v>1</v>
      </c>
      <c r="X54" s="243">
        <v>1</v>
      </c>
      <c r="Y54" s="243">
        <v>1</v>
      </c>
      <c r="Z54" s="243">
        <v>1</v>
      </c>
      <c r="AA54" s="243">
        <v>1</v>
      </c>
      <c r="AB54" s="243">
        <v>1</v>
      </c>
      <c r="AC54" s="238">
        <v>1</v>
      </c>
      <c r="AD54" s="238">
        <v>1</v>
      </c>
      <c r="AE54" s="238">
        <v>1</v>
      </c>
      <c r="AF54" s="238">
        <v>1</v>
      </c>
      <c r="AG54" s="238">
        <v>1</v>
      </c>
      <c r="AH54" s="240">
        <v>1</v>
      </c>
      <c r="AI54" s="240">
        <v>1</v>
      </c>
      <c r="AJ54" s="240">
        <v>1</v>
      </c>
      <c r="AK54" s="240"/>
      <c r="AL54" s="240"/>
      <c r="AM54" s="95"/>
      <c r="AN54" s="95"/>
      <c r="AO54" s="95"/>
      <c r="AP54" s="95"/>
      <c r="AQ54" s="95"/>
      <c r="AR54" s="95"/>
      <c r="AS54" s="95"/>
      <c r="AT54" s="95"/>
      <c r="AU54" s="95"/>
      <c r="AV54" s="95"/>
      <c r="AW54" s="95"/>
      <c r="AX54" s="95"/>
      <c r="AY54" s="103">
        <f t="shared" ca="1" si="13"/>
        <v>145</v>
      </c>
      <c r="AZ54" s="98">
        <f t="shared" ca="1" si="14"/>
        <v>0.93548387096774188</v>
      </c>
      <c r="BB54" t="s">
        <v>744</v>
      </c>
    </row>
    <row r="55" spans="1:54" ht="15.75" customHeight="1">
      <c r="A55" s="23"/>
      <c r="B55" s="153"/>
      <c r="C55" s="151" t="s">
        <v>711</v>
      </c>
      <c r="D55" s="35" t="s">
        <v>712</v>
      </c>
      <c r="E55" s="35" t="s">
        <v>743</v>
      </c>
      <c r="F55" s="35" t="s">
        <v>739</v>
      </c>
      <c r="G55" s="44" t="s">
        <v>24</v>
      </c>
      <c r="H55" s="235">
        <v>1</v>
      </c>
      <c r="I55" s="235">
        <v>1</v>
      </c>
      <c r="J55" s="235">
        <v>1</v>
      </c>
      <c r="K55" s="235">
        <v>1</v>
      </c>
      <c r="L55" s="235">
        <v>1</v>
      </c>
      <c r="M55" s="235">
        <v>1</v>
      </c>
      <c r="N55" s="243">
        <v>1</v>
      </c>
      <c r="O55" s="243">
        <v>1</v>
      </c>
      <c r="P55" s="243">
        <v>1</v>
      </c>
      <c r="Q55" s="243">
        <v>1</v>
      </c>
      <c r="R55" s="243">
        <v>1</v>
      </c>
      <c r="S55" s="243">
        <v>1</v>
      </c>
      <c r="T55" s="243">
        <v>1</v>
      </c>
      <c r="U55" s="243">
        <v>1</v>
      </c>
      <c r="V55" s="243">
        <v>1</v>
      </c>
      <c r="W55" s="243">
        <v>1</v>
      </c>
      <c r="X55" s="243">
        <v>1</v>
      </c>
      <c r="Y55" s="243">
        <v>1</v>
      </c>
      <c r="Z55" s="243">
        <v>1</v>
      </c>
      <c r="AA55" s="243">
        <v>1</v>
      </c>
      <c r="AB55" s="243">
        <v>1</v>
      </c>
      <c r="AC55" s="238">
        <v>1</v>
      </c>
      <c r="AD55" s="238">
        <v>1</v>
      </c>
      <c r="AE55" s="238">
        <v>1</v>
      </c>
      <c r="AF55" s="238">
        <v>1</v>
      </c>
      <c r="AG55" s="238">
        <v>1</v>
      </c>
      <c r="AH55" s="240">
        <v>1</v>
      </c>
      <c r="AI55" s="240">
        <v>1</v>
      </c>
      <c r="AJ55" s="240">
        <v>1</v>
      </c>
      <c r="AK55" s="240"/>
      <c r="AL55" s="240"/>
      <c r="AM55" s="95"/>
      <c r="AN55" s="95"/>
      <c r="AO55" s="95"/>
      <c r="AP55" s="95"/>
      <c r="AQ55" s="95"/>
      <c r="AR55" s="95"/>
      <c r="AS55" s="95"/>
      <c r="AT55" s="95"/>
      <c r="AU55" s="95"/>
      <c r="AV55" s="95"/>
      <c r="AW55" s="95"/>
      <c r="AX55" s="95"/>
      <c r="AY55" s="103">
        <f t="shared" ca="1" si="13"/>
        <v>145</v>
      </c>
      <c r="AZ55" s="98">
        <f ca="1">IF(staffing_planned_net_work_days=0,0,AY55/staffing_planned_net_work_days)</f>
        <v>0.93548387096774188</v>
      </c>
      <c r="BB55" t="s">
        <v>745</v>
      </c>
    </row>
    <row r="56" spans="1:54" ht="15.75" customHeight="1">
      <c r="A56" s="23"/>
      <c r="B56" s="153"/>
      <c r="C56" s="151" t="s">
        <v>711</v>
      </c>
      <c r="D56" s="35" t="s">
        <v>712</v>
      </c>
      <c r="E56" s="35" t="s">
        <v>743</v>
      </c>
      <c r="F56" s="35" t="s">
        <v>739</v>
      </c>
      <c r="G56" s="44" t="s">
        <v>24</v>
      </c>
      <c r="H56" s="235"/>
      <c r="I56" s="235"/>
      <c r="J56" s="235"/>
      <c r="K56" s="235"/>
      <c r="L56" s="235"/>
      <c r="M56" s="235"/>
      <c r="N56" s="243">
        <v>1</v>
      </c>
      <c r="O56" s="243">
        <v>1</v>
      </c>
      <c r="P56" s="243">
        <v>1</v>
      </c>
      <c r="Q56" s="243">
        <v>1</v>
      </c>
      <c r="R56" s="243">
        <v>1</v>
      </c>
      <c r="S56" s="243">
        <v>1</v>
      </c>
      <c r="T56" s="243">
        <v>1</v>
      </c>
      <c r="U56" s="243">
        <v>1</v>
      </c>
      <c r="V56" s="243">
        <v>1</v>
      </c>
      <c r="W56" s="243">
        <v>1</v>
      </c>
      <c r="X56" s="243">
        <v>1</v>
      </c>
      <c r="Y56" s="243">
        <v>1</v>
      </c>
      <c r="Z56" s="243">
        <v>1</v>
      </c>
      <c r="AA56" s="243">
        <v>1</v>
      </c>
      <c r="AB56" s="243">
        <v>1</v>
      </c>
      <c r="AC56" s="238">
        <v>1</v>
      </c>
      <c r="AD56" s="238">
        <v>1</v>
      </c>
      <c r="AE56" s="238">
        <v>1</v>
      </c>
      <c r="AF56" s="238">
        <v>1</v>
      </c>
      <c r="AG56" s="238">
        <v>1</v>
      </c>
      <c r="AH56" s="240">
        <v>1</v>
      </c>
      <c r="AI56" s="240">
        <v>1</v>
      </c>
      <c r="AJ56" s="240">
        <v>1</v>
      </c>
      <c r="AK56" s="240"/>
      <c r="AL56" s="240"/>
      <c r="AM56" s="95"/>
      <c r="AN56" s="95"/>
      <c r="AO56" s="95"/>
      <c r="AP56" s="95"/>
      <c r="AQ56" s="95"/>
      <c r="AR56" s="95"/>
      <c r="AS56" s="95"/>
      <c r="AT56" s="95"/>
      <c r="AU56" s="95"/>
      <c r="AV56" s="95"/>
      <c r="AW56" s="95"/>
      <c r="AX56" s="95"/>
      <c r="AY56" s="103">
        <f t="shared" ca="1" si="13"/>
        <v>115</v>
      </c>
      <c r="AZ56" s="98">
        <f t="shared" ca="1" si="14"/>
        <v>0.74193548387096775</v>
      </c>
      <c r="BB56" t="s">
        <v>746</v>
      </c>
    </row>
    <row r="57" spans="1:54" ht="15.75" customHeight="1">
      <c r="A57" s="23"/>
      <c r="B57" s="153"/>
      <c r="C57" s="151" t="s">
        <v>711</v>
      </c>
      <c r="D57" s="35" t="s">
        <v>712</v>
      </c>
      <c r="E57" s="35" t="s">
        <v>743</v>
      </c>
      <c r="F57" s="35" t="s">
        <v>739</v>
      </c>
      <c r="G57" s="44" t="s">
        <v>24</v>
      </c>
      <c r="H57" s="235"/>
      <c r="I57" s="235"/>
      <c r="J57" s="235"/>
      <c r="K57" s="235"/>
      <c r="L57" s="235"/>
      <c r="M57" s="235"/>
      <c r="N57" s="243">
        <v>1</v>
      </c>
      <c r="O57" s="243">
        <v>1</v>
      </c>
      <c r="P57" s="243">
        <v>1</v>
      </c>
      <c r="Q57" s="243">
        <v>1</v>
      </c>
      <c r="R57" s="243">
        <v>1</v>
      </c>
      <c r="S57" s="243">
        <v>1</v>
      </c>
      <c r="T57" s="243">
        <v>1</v>
      </c>
      <c r="U57" s="243">
        <v>1</v>
      </c>
      <c r="V57" s="243">
        <v>1</v>
      </c>
      <c r="W57" s="243">
        <v>1</v>
      </c>
      <c r="X57" s="243">
        <v>1</v>
      </c>
      <c r="Y57" s="243">
        <v>1</v>
      </c>
      <c r="Z57" s="243">
        <v>1</v>
      </c>
      <c r="AA57" s="243">
        <v>1</v>
      </c>
      <c r="AB57" s="243">
        <v>1</v>
      </c>
      <c r="AC57" s="238">
        <v>1</v>
      </c>
      <c r="AD57" s="238">
        <v>1</v>
      </c>
      <c r="AE57" s="238">
        <v>1</v>
      </c>
      <c r="AF57" s="238">
        <v>1</v>
      </c>
      <c r="AG57" s="238">
        <v>1</v>
      </c>
      <c r="AH57" s="240">
        <v>1</v>
      </c>
      <c r="AI57" s="240">
        <v>1</v>
      </c>
      <c r="AJ57" s="240">
        <v>1</v>
      </c>
      <c r="AK57" s="240"/>
      <c r="AL57" s="240"/>
      <c r="AM57" s="95"/>
      <c r="AN57" s="95"/>
      <c r="AO57" s="95"/>
      <c r="AP57" s="95"/>
      <c r="AQ57" s="95"/>
      <c r="AR57" s="95"/>
      <c r="AS57" s="95"/>
      <c r="AT57" s="95"/>
      <c r="AU57" s="95"/>
      <c r="AV57" s="95"/>
      <c r="AW57" s="95"/>
      <c r="AX57" s="95"/>
      <c r="AY57" s="103">
        <f t="shared" ca="1" si="13"/>
        <v>115</v>
      </c>
      <c r="AZ57" s="98">
        <f t="shared" ca="1" si="14"/>
        <v>0.74193548387096775</v>
      </c>
      <c r="BB57" t="s">
        <v>747</v>
      </c>
    </row>
    <row r="58" spans="1:54" ht="15.75" customHeight="1">
      <c r="A58" s="23"/>
      <c r="B58" s="153"/>
      <c r="C58" s="151" t="s">
        <v>711</v>
      </c>
      <c r="D58" s="35" t="s">
        <v>712</v>
      </c>
      <c r="E58" s="35" t="s">
        <v>743</v>
      </c>
      <c r="F58" s="35" t="s">
        <v>739</v>
      </c>
      <c r="G58" s="44" t="s">
        <v>24</v>
      </c>
      <c r="H58" s="235"/>
      <c r="I58" s="235"/>
      <c r="J58" s="235"/>
      <c r="K58" s="235"/>
      <c r="L58" s="235"/>
      <c r="M58" s="235"/>
      <c r="N58" s="243">
        <v>1</v>
      </c>
      <c r="O58" s="243">
        <v>1</v>
      </c>
      <c r="P58" s="243">
        <v>1</v>
      </c>
      <c r="Q58" s="243">
        <v>1</v>
      </c>
      <c r="R58" s="243">
        <v>1</v>
      </c>
      <c r="S58" s="243">
        <v>1</v>
      </c>
      <c r="T58" s="243">
        <v>1</v>
      </c>
      <c r="U58" s="243">
        <v>1</v>
      </c>
      <c r="V58" s="243">
        <v>1</v>
      </c>
      <c r="W58" s="243">
        <v>1</v>
      </c>
      <c r="X58" s="243">
        <v>1</v>
      </c>
      <c r="Y58" s="243">
        <v>1</v>
      </c>
      <c r="Z58" s="243">
        <v>1</v>
      </c>
      <c r="AA58" s="243">
        <v>1</v>
      </c>
      <c r="AB58" s="243">
        <v>1</v>
      </c>
      <c r="AC58" s="238">
        <v>1</v>
      </c>
      <c r="AD58" s="238">
        <v>1</v>
      </c>
      <c r="AE58" s="238">
        <v>1</v>
      </c>
      <c r="AF58" s="238">
        <v>1</v>
      </c>
      <c r="AG58" s="238">
        <v>1</v>
      </c>
      <c r="AH58" s="240">
        <v>1</v>
      </c>
      <c r="AI58" s="240">
        <v>1</v>
      </c>
      <c r="AJ58" s="240">
        <v>1</v>
      </c>
      <c r="AK58" s="240"/>
      <c r="AL58" s="240"/>
      <c r="AM58" s="95"/>
      <c r="AN58" s="95"/>
      <c r="AO58" s="95"/>
      <c r="AP58" s="95"/>
      <c r="AQ58" s="95"/>
      <c r="AR58" s="95"/>
      <c r="AS58" s="95"/>
      <c r="AT58" s="95"/>
      <c r="AU58" s="95"/>
      <c r="AV58" s="95"/>
      <c r="AW58" s="95"/>
      <c r="AX58" s="95"/>
      <c r="AY58" s="103">
        <f t="shared" ca="1" si="13"/>
        <v>115</v>
      </c>
      <c r="AZ58" s="98">
        <f t="shared" ref="AZ58" ca="1" si="16">IF(staffing_planned_net_work_days=0,0,AY58/staffing_planned_net_work_days)</f>
        <v>0.74193548387096775</v>
      </c>
      <c r="BB58" t="s">
        <v>738</v>
      </c>
    </row>
    <row r="59" spans="1:54" ht="15.75" customHeight="1">
      <c r="A59" s="23"/>
      <c r="B59" s="153"/>
      <c r="C59" s="151" t="s">
        <v>711</v>
      </c>
      <c r="D59" s="35" t="s">
        <v>712</v>
      </c>
      <c r="E59" s="35" t="s">
        <v>743</v>
      </c>
      <c r="F59" s="35" t="s">
        <v>739</v>
      </c>
      <c r="G59" s="44" t="s">
        <v>24</v>
      </c>
      <c r="H59" s="235"/>
      <c r="I59" s="235"/>
      <c r="J59" s="235"/>
      <c r="K59" s="235"/>
      <c r="L59" s="235"/>
      <c r="M59" s="235"/>
      <c r="N59" s="243">
        <v>1</v>
      </c>
      <c r="O59" s="243">
        <v>1</v>
      </c>
      <c r="P59" s="243">
        <v>1</v>
      </c>
      <c r="Q59" s="243">
        <v>1</v>
      </c>
      <c r="R59" s="243">
        <v>1</v>
      </c>
      <c r="S59" s="243">
        <v>1</v>
      </c>
      <c r="T59" s="243">
        <v>1</v>
      </c>
      <c r="U59" s="243">
        <v>1</v>
      </c>
      <c r="V59" s="243">
        <v>1</v>
      </c>
      <c r="W59" s="243">
        <v>1</v>
      </c>
      <c r="X59" s="243">
        <v>1</v>
      </c>
      <c r="Y59" s="243">
        <v>1</v>
      </c>
      <c r="Z59" s="243">
        <v>1</v>
      </c>
      <c r="AA59" s="243">
        <v>1</v>
      </c>
      <c r="AB59" s="243">
        <v>1</v>
      </c>
      <c r="AC59" s="238">
        <v>1</v>
      </c>
      <c r="AD59" s="238">
        <v>1</v>
      </c>
      <c r="AE59" s="238">
        <v>1</v>
      </c>
      <c r="AF59" s="238">
        <v>1</v>
      </c>
      <c r="AG59" s="238">
        <v>1</v>
      </c>
      <c r="AH59" s="240">
        <v>1</v>
      </c>
      <c r="AI59" s="240">
        <v>1</v>
      </c>
      <c r="AJ59" s="240">
        <v>1</v>
      </c>
      <c r="AK59" s="240"/>
      <c r="AL59" s="240"/>
      <c r="AM59" s="95"/>
      <c r="AN59" s="95"/>
      <c r="AO59" s="95"/>
      <c r="AP59" s="95"/>
      <c r="AQ59" s="95"/>
      <c r="AR59" s="95"/>
      <c r="AS59" s="95"/>
      <c r="AT59" s="95"/>
      <c r="AU59" s="95"/>
      <c r="AV59" s="95"/>
      <c r="AW59" s="95"/>
      <c r="AX59" s="95"/>
      <c r="AY59" s="103">
        <f t="shared" ca="1" si="13"/>
        <v>115</v>
      </c>
      <c r="AZ59" s="98">
        <f t="shared" ref="AZ59" ca="1" si="17">IF(staffing_planned_net_work_days=0,0,AY59/staffing_planned_net_work_days)</f>
        <v>0.74193548387096775</v>
      </c>
      <c r="BB59" t="s">
        <v>748</v>
      </c>
    </row>
    <row r="60" spans="1:54" ht="15.75" customHeight="1">
      <c r="A60" s="23"/>
      <c r="B60" s="153"/>
      <c r="C60" s="151" t="s">
        <v>711</v>
      </c>
      <c r="D60" s="35" t="s">
        <v>712</v>
      </c>
      <c r="E60" s="35" t="s">
        <v>743</v>
      </c>
      <c r="F60" s="35" t="s">
        <v>739</v>
      </c>
      <c r="G60" s="44" t="s">
        <v>24</v>
      </c>
      <c r="H60" s="235"/>
      <c r="I60" s="235"/>
      <c r="J60" s="235"/>
      <c r="K60" s="235"/>
      <c r="L60" s="235"/>
      <c r="M60" s="235"/>
      <c r="N60" s="243">
        <v>1</v>
      </c>
      <c r="O60" s="243">
        <v>1</v>
      </c>
      <c r="P60" s="243">
        <v>1</v>
      </c>
      <c r="Q60" s="243">
        <v>1</v>
      </c>
      <c r="R60" s="243">
        <v>1</v>
      </c>
      <c r="S60" s="243">
        <v>1</v>
      </c>
      <c r="T60" s="243">
        <v>1</v>
      </c>
      <c r="U60" s="243">
        <v>1</v>
      </c>
      <c r="V60" s="243">
        <v>1</v>
      </c>
      <c r="W60" s="243">
        <v>1</v>
      </c>
      <c r="X60" s="243">
        <v>1</v>
      </c>
      <c r="Y60" s="243">
        <v>1</v>
      </c>
      <c r="Z60" s="243">
        <v>1</v>
      </c>
      <c r="AA60" s="243">
        <v>1</v>
      </c>
      <c r="AB60" s="243">
        <v>1</v>
      </c>
      <c r="AC60" s="238"/>
      <c r="AD60" s="238"/>
      <c r="AE60" s="238"/>
      <c r="AF60" s="238"/>
      <c r="AG60" s="238"/>
      <c r="AH60" s="240"/>
      <c r="AI60" s="240"/>
      <c r="AJ60" s="240"/>
      <c r="AK60" s="240"/>
      <c r="AL60" s="240"/>
      <c r="AM60" s="95"/>
      <c r="AN60" s="95"/>
      <c r="AO60" s="95"/>
      <c r="AP60" s="95"/>
      <c r="AQ60" s="95"/>
      <c r="AR60" s="95"/>
      <c r="AS60" s="95"/>
      <c r="AT60" s="95"/>
      <c r="AU60" s="95"/>
      <c r="AV60" s="95"/>
      <c r="AW60" s="95"/>
      <c r="AX60" s="95"/>
      <c r="AY60" s="103">
        <f t="shared" ca="1" si="13"/>
        <v>75</v>
      </c>
      <c r="AZ60" s="98">
        <f t="shared" ref="AZ60" ca="1" si="18">IF(staffing_planned_net_work_days=0,0,AY60/staffing_planned_net_work_days)</f>
        <v>0.4838709677419355</v>
      </c>
      <c r="BB60" t="s">
        <v>749</v>
      </c>
    </row>
    <row r="61" spans="1:54" ht="15.75" customHeight="1">
      <c r="A61" s="23"/>
      <c r="B61" s="153"/>
      <c r="C61" s="151" t="s">
        <v>711</v>
      </c>
      <c r="D61" s="35" t="s">
        <v>712</v>
      </c>
      <c r="E61" s="35" t="s">
        <v>743</v>
      </c>
      <c r="F61" s="35" t="s">
        <v>739</v>
      </c>
      <c r="G61" s="44" t="s">
        <v>24</v>
      </c>
      <c r="H61" s="235"/>
      <c r="I61" s="235"/>
      <c r="J61" s="235"/>
      <c r="K61" s="235"/>
      <c r="L61" s="235"/>
      <c r="M61" s="235"/>
      <c r="N61" s="243">
        <v>1</v>
      </c>
      <c r="O61" s="243">
        <v>1</v>
      </c>
      <c r="P61" s="243">
        <v>1</v>
      </c>
      <c r="Q61" s="243">
        <v>1</v>
      </c>
      <c r="R61" s="243">
        <v>1</v>
      </c>
      <c r="S61" s="243">
        <v>1</v>
      </c>
      <c r="T61" s="243">
        <v>1</v>
      </c>
      <c r="U61" s="243">
        <v>1</v>
      </c>
      <c r="V61" s="243">
        <v>1</v>
      </c>
      <c r="W61" s="243">
        <v>1</v>
      </c>
      <c r="X61" s="243">
        <v>1</v>
      </c>
      <c r="Y61" s="243">
        <v>1</v>
      </c>
      <c r="Z61" s="243">
        <v>1</v>
      </c>
      <c r="AA61" s="243">
        <v>1</v>
      </c>
      <c r="AB61" s="243">
        <v>1</v>
      </c>
      <c r="AC61" s="238"/>
      <c r="AD61" s="238"/>
      <c r="AE61" s="238"/>
      <c r="AF61" s="238"/>
      <c r="AG61" s="238"/>
      <c r="AH61" s="240"/>
      <c r="AI61" s="240"/>
      <c r="AJ61" s="240"/>
      <c r="AK61" s="240"/>
      <c r="AL61" s="240"/>
      <c r="AM61" s="95"/>
      <c r="AN61" s="95"/>
      <c r="AO61" s="95"/>
      <c r="AP61" s="95"/>
      <c r="AQ61" s="95"/>
      <c r="AR61" s="95"/>
      <c r="AS61" s="95"/>
      <c r="AT61" s="95"/>
      <c r="AU61" s="95"/>
      <c r="AV61" s="95"/>
      <c r="AW61" s="95"/>
      <c r="AX61" s="95"/>
      <c r="AY61" s="103">
        <f t="shared" ca="1" si="13"/>
        <v>75</v>
      </c>
      <c r="AZ61" s="98">
        <f t="shared" ref="AZ61" ca="1" si="19">IF(staffing_planned_net_work_days=0,0,AY61/staffing_planned_net_work_days)</f>
        <v>0.4838709677419355</v>
      </c>
      <c r="BB61" t="s">
        <v>750</v>
      </c>
    </row>
    <row r="62" spans="1:54" ht="15.75" customHeight="1">
      <c r="A62" s="23"/>
      <c r="B62" s="153"/>
      <c r="C62" s="151" t="s">
        <v>711</v>
      </c>
      <c r="D62" s="35" t="s">
        <v>712</v>
      </c>
      <c r="E62" s="35" t="s">
        <v>735</v>
      </c>
      <c r="F62" s="35" t="s">
        <v>736</v>
      </c>
      <c r="G62" s="44" t="s">
        <v>30</v>
      </c>
      <c r="H62" s="235">
        <v>1</v>
      </c>
      <c r="I62" s="235">
        <v>1</v>
      </c>
      <c r="J62" s="235">
        <v>1</v>
      </c>
      <c r="K62" s="235">
        <v>1</v>
      </c>
      <c r="L62" s="235">
        <v>1</v>
      </c>
      <c r="M62" s="235">
        <v>1</v>
      </c>
      <c r="N62" s="243">
        <v>1</v>
      </c>
      <c r="O62" s="243">
        <v>1</v>
      </c>
      <c r="P62" s="243">
        <v>1</v>
      </c>
      <c r="Q62" s="243">
        <v>1</v>
      </c>
      <c r="R62" s="243">
        <v>1</v>
      </c>
      <c r="S62" s="243">
        <v>1</v>
      </c>
      <c r="T62" s="243">
        <v>1</v>
      </c>
      <c r="U62" s="243">
        <v>1</v>
      </c>
      <c r="V62" s="243">
        <v>1</v>
      </c>
      <c r="W62" s="243">
        <v>1</v>
      </c>
      <c r="X62" s="243">
        <v>1</v>
      </c>
      <c r="Y62" s="243">
        <v>1</v>
      </c>
      <c r="Z62" s="243">
        <v>1</v>
      </c>
      <c r="AA62" s="243">
        <v>1</v>
      </c>
      <c r="AB62" s="243">
        <v>1</v>
      </c>
      <c r="AC62" s="238">
        <v>1</v>
      </c>
      <c r="AD62" s="238">
        <v>1</v>
      </c>
      <c r="AE62" s="238">
        <v>1</v>
      </c>
      <c r="AF62" s="238">
        <v>1</v>
      </c>
      <c r="AG62" s="238">
        <v>1</v>
      </c>
      <c r="AH62" s="240">
        <v>1</v>
      </c>
      <c r="AI62" s="240">
        <v>1</v>
      </c>
      <c r="AJ62" s="240">
        <v>1</v>
      </c>
      <c r="AK62" s="240">
        <v>1</v>
      </c>
      <c r="AL62" s="240">
        <v>1</v>
      </c>
      <c r="AM62" s="95">
        <v>1</v>
      </c>
      <c r="AN62" s="95">
        <v>1</v>
      </c>
      <c r="AO62" s="95">
        <v>1</v>
      </c>
      <c r="AP62" s="95">
        <v>1</v>
      </c>
      <c r="AQ62" s="95"/>
      <c r="AR62" s="95"/>
      <c r="AS62" s="95"/>
      <c r="AT62" s="95"/>
      <c r="AU62" s="95"/>
      <c r="AV62" s="95"/>
      <c r="AW62" s="95"/>
      <c r="AX62" s="95"/>
      <c r="AY62" s="103">
        <f t="shared" ca="1" si="13"/>
        <v>175</v>
      </c>
      <c r="AZ62" s="98">
        <f t="shared" ref="AZ62:AZ66" ca="1" si="20">IF(staffing_planned_net_work_days=0,0,AY62/staffing_planned_net_work_days)</f>
        <v>1.1290322580645162</v>
      </c>
      <c r="BB62" t="s">
        <v>751</v>
      </c>
    </row>
    <row r="63" spans="1:54" ht="15.75" customHeight="1">
      <c r="A63" s="23"/>
      <c r="B63" s="153"/>
      <c r="C63" s="151" t="s">
        <v>711</v>
      </c>
      <c r="D63" s="35" t="s">
        <v>712</v>
      </c>
      <c r="E63" s="35" t="s">
        <v>743</v>
      </c>
      <c r="F63" s="35" t="s">
        <v>739</v>
      </c>
      <c r="G63" s="44" t="s">
        <v>30</v>
      </c>
      <c r="H63" s="235">
        <v>1</v>
      </c>
      <c r="I63" s="235">
        <v>1</v>
      </c>
      <c r="J63" s="235">
        <v>1</v>
      </c>
      <c r="K63" s="235">
        <v>1</v>
      </c>
      <c r="L63" s="235">
        <v>1</v>
      </c>
      <c r="M63" s="235">
        <v>1</v>
      </c>
      <c r="N63" s="243">
        <v>1</v>
      </c>
      <c r="O63" s="243">
        <v>1</v>
      </c>
      <c r="P63" s="243">
        <v>1</v>
      </c>
      <c r="Q63" s="243">
        <v>1</v>
      </c>
      <c r="R63" s="243">
        <v>1</v>
      </c>
      <c r="S63" s="243">
        <v>1</v>
      </c>
      <c r="T63" s="243">
        <v>1</v>
      </c>
      <c r="U63" s="243">
        <v>1</v>
      </c>
      <c r="V63" s="243">
        <v>1</v>
      </c>
      <c r="W63" s="243">
        <v>1</v>
      </c>
      <c r="X63" s="243">
        <v>1</v>
      </c>
      <c r="Y63" s="243">
        <v>1</v>
      </c>
      <c r="Z63" s="243">
        <v>1</v>
      </c>
      <c r="AA63" s="243">
        <v>1</v>
      </c>
      <c r="AB63" s="243">
        <v>1</v>
      </c>
      <c r="AC63" s="238">
        <v>1</v>
      </c>
      <c r="AD63" s="238">
        <v>1</v>
      </c>
      <c r="AE63" s="238">
        <v>1</v>
      </c>
      <c r="AF63" s="238">
        <v>1</v>
      </c>
      <c r="AG63" s="238">
        <v>1</v>
      </c>
      <c r="AH63" s="240">
        <v>1</v>
      </c>
      <c r="AI63" s="240">
        <v>1</v>
      </c>
      <c r="AJ63" s="240">
        <v>1</v>
      </c>
      <c r="AK63" s="240">
        <v>1</v>
      </c>
      <c r="AL63" s="240">
        <v>1</v>
      </c>
      <c r="AM63" s="95">
        <v>1</v>
      </c>
      <c r="AN63" s="95">
        <v>1</v>
      </c>
      <c r="AO63" s="95">
        <v>1</v>
      </c>
      <c r="AP63" s="95">
        <v>1</v>
      </c>
      <c r="AQ63" s="95"/>
      <c r="AR63" s="95"/>
      <c r="AS63" s="95"/>
      <c r="AT63" s="95"/>
      <c r="AU63" s="95"/>
      <c r="AV63" s="95"/>
      <c r="AW63" s="95"/>
      <c r="AX63" s="95"/>
      <c r="AY63" s="103">
        <f t="shared" ca="1" si="13"/>
        <v>175</v>
      </c>
      <c r="AZ63" s="98">
        <f t="shared" ca="1" si="20"/>
        <v>1.1290322580645162</v>
      </c>
      <c r="BB63" t="s">
        <v>752</v>
      </c>
    </row>
    <row r="64" spans="1:54" ht="15.75" customHeight="1">
      <c r="A64" s="23"/>
      <c r="B64" s="153"/>
      <c r="C64" s="151" t="s">
        <v>711</v>
      </c>
      <c r="D64" s="35" t="s">
        <v>712</v>
      </c>
      <c r="E64" s="35" t="s">
        <v>735</v>
      </c>
      <c r="F64" s="35" t="s">
        <v>736</v>
      </c>
      <c r="G64" s="44" t="s">
        <v>24</v>
      </c>
      <c r="H64" s="235">
        <v>1</v>
      </c>
      <c r="I64" s="235">
        <v>1</v>
      </c>
      <c r="J64" s="235">
        <v>1</v>
      </c>
      <c r="K64" s="235">
        <v>1</v>
      </c>
      <c r="L64" s="235">
        <v>1</v>
      </c>
      <c r="M64" s="235">
        <v>1</v>
      </c>
      <c r="N64" s="243">
        <v>1</v>
      </c>
      <c r="O64" s="243">
        <v>1</v>
      </c>
      <c r="P64" s="243">
        <v>1</v>
      </c>
      <c r="Q64" s="243">
        <v>1</v>
      </c>
      <c r="R64" s="243">
        <v>1</v>
      </c>
      <c r="S64" s="243">
        <v>1</v>
      </c>
      <c r="T64" s="243">
        <v>1</v>
      </c>
      <c r="U64" s="243">
        <v>1</v>
      </c>
      <c r="V64" s="243">
        <v>1</v>
      </c>
      <c r="W64" s="243">
        <v>1</v>
      </c>
      <c r="X64" s="243">
        <v>1</v>
      </c>
      <c r="Y64" s="243">
        <v>1</v>
      </c>
      <c r="Z64" s="243">
        <v>1</v>
      </c>
      <c r="AA64" s="243">
        <v>1</v>
      </c>
      <c r="AB64" s="243">
        <v>1</v>
      </c>
      <c r="AC64" s="238">
        <v>1</v>
      </c>
      <c r="AD64" s="238">
        <v>1</v>
      </c>
      <c r="AE64" s="238">
        <v>1</v>
      </c>
      <c r="AF64" s="238">
        <v>1</v>
      </c>
      <c r="AG64" s="238">
        <v>1</v>
      </c>
      <c r="AH64" s="240">
        <v>1</v>
      </c>
      <c r="AI64" s="240">
        <v>1</v>
      </c>
      <c r="AJ64" s="240">
        <v>1</v>
      </c>
      <c r="AK64" s="240"/>
      <c r="AL64" s="240"/>
      <c r="AM64" s="95"/>
      <c r="AN64" s="95"/>
      <c r="AO64" s="95"/>
      <c r="AP64" s="95"/>
      <c r="AQ64" s="95"/>
      <c r="AR64" s="95"/>
      <c r="AS64" s="95"/>
      <c r="AT64" s="95"/>
      <c r="AU64" s="95"/>
      <c r="AV64" s="95"/>
      <c r="AW64" s="95"/>
      <c r="AX64" s="95"/>
      <c r="AY64" s="103">
        <f t="shared" ca="1" si="13"/>
        <v>145</v>
      </c>
      <c r="AZ64" s="98">
        <f t="shared" ca="1" si="20"/>
        <v>0.93548387096774188</v>
      </c>
      <c r="BB64" t="s">
        <v>753</v>
      </c>
    </row>
    <row r="65" spans="1:54" ht="15.75" customHeight="1">
      <c r="A65" s="23"/>
      <c r="B65" s="153"/>
      <c r="C65" s="151" t="s">
        <v>711</v>
      </c>
      <c r="D65" s="35" t="s">
        <v>712</v>
      </c>
      <c r="E65" s="35" t="s">
        <v>743</v>
      </c>
      <c r="F65" s="35" t="s">
        <v>739</v>
      </c>
      <c r="G65" s="44" t="s">
        <v>24</v>
      </c>
      <c r="H65" s="235">
        <v>1</v>
      </c>
      <c r="I65" s="235">
        <v>1</v>
      </c>
      <c r="J65" s="235">
        <v>1</v>
      </c>
      <c r="K65" s="235">
        <v>1</v>
      </c>
      <c r="L65" s="235">
        <v>1</v>
      </c>
      <c r="M65" s="235">
        <v>1</v>
      </c>
      <c r="N65" s="243">
        <v>1</v>
      </c>
      <c r="O65" s="243">
        <v>1</v>
      </c>
      <c r="P65" s="243">
        <v>1</v>
      </c>
      <c r="Q65" s="243">
        <v>1</v>
      </c>
      <c r="R65" s="243">
        <v>1</v>
      </c>
      <c r="S65" s="243">
        <v>1</v>
      </c>
      <c r="T65" s="243">
        <v>1</v>
      </c>
      <c r="U65" s="243">
        <v>1</v>
      </c>
      <c r="V65" s="243">
        <v>1</v>
      </c>
      <c r="W65" s="243">
        <v>1</v>
      </c>
      <c r="X65" s="243">
        <v>1</v>
      </c>
      <c r="Y65" s="243">
        <v>1</v>
      </c>
      <c r="Z65" s="243">
        <v>1</v>
      </c>
      <c r="AA65" s="243">
        <v>1</v>
      </c>
      <c r="AB65" s="243">
        <v>1</v>
      </c>
      <c r="AC65" s="238">
        <v>1</v>
      </c>
      <c r="AD65" s="238">
        <v>1</v>
      </c>
      <c r="AE65" s="238">
        <v>1</v>
      </c>
      <c r="AF65" s="238">
        <v>1</v>
      </c>
      <c r="AG65" s="238">
        <v>1</v>
      </c>
      <c r="AH65" s="240"/>
      <c r="AI65" s="240"/>
      <c r="AJ65" s="240"/>
      <c r="AK65" s="240"/>
      <c r="AL65" s="240"/>
      <c r="AM65" s="95"/>
      <c r="AN65" s="95"/>
      <c r="AO65" s="95"/>
      <c r="AP65" s="95"/>
      <c r="AQ65" s="95"/>
      <c r="AR65" s="95"/>
      <c r="AS65" s="95"/>
      <c r="AT65" s="95"/>
      <c r="AU65" s="95"/>
      <c r="AV65" s="95"/>
      <c r="AW65" s="95"/>
      <c r="AX65" s="95"/>
      <c r="AY65" s="103">
        <f t="shared" ca="1" si="13"/>
        <v>130</v>
      </c>
      <c r="AZ65" s="98">
        <f t="shared" ca="1" si="20"/>
        <v>0.83870967741935487</v>
      </c>
      <c r="BB65" t="s">
        <v>754</v>
      </c>
    </row>
    <row r="66" spans="1:54" ht="15.75" customHeight="1">
      <c r="A66" s="23"/>
      <c r="B66" s="153"/>
      <c r="C66" s="151" t="s">
        <v>711</v>
      </c>
      <c r="D66" s="35" t="s">
        <v>712</v>
      </c>
      <c r="E66" s="35" t="s">
        <v>755</v>
      </c>
      <c r="F66" s="35" t="s">
        <v>756</v>
      </c>
      <c r="G66" s="44" t="s">
        <v>22</v>
      </c>
      <c r="H66" s="235"/>
      <c r="I66" s="235"/>
      <c r="J66" s="235"/>
      <c r="K66" s="235"/>
      <c r="L66" s="235"/>
      <c r="M66" s="235"/>
      <c r="N66" s="243"/>
      <c r="O66" s="243"/>
      <c r="P66" s="243"/>
      <c r="Q66" s="243"/>
      <c r="R66" s="243"/>
      <c r="S66" s="243"/>
      <c r="T66" s="243"/>
      <c r="U66" s="243"/>
      <c r="V66" s="243"/>
      <c r="W66" s="243"/>
      <c r="X66" s="243">
        <v>1</v>
      </c>
      <c r="Y66" s="243">
        <v>1</v>
      </c>
      <c r="Z66" s="243">
        <v>1</v>
      </c>
      <c r="AA66" s="243">
        <v>1</v>
      </c>
      <c r="AB66" s="243">
        <v>1</v>
      </c>
      <c r="AC66" s="238">
        <v>1</v>
      </c>
      <c r="AD66" s="238">
        <v>1</v>
      </c>
      <c r="AE66" s="238">
        <v>1</v>
      </c>
      <c r="AF66" s="238">
        <v>1</v>
      </c>
      <c r="AG66" s="238">
        <v>1</v>
      </c>
      <c r="AH66" s="240">
        <v>1</v>
      </c>
      <c r="AI66" s="240">
        <v>1</v>
      </c>
      <c r="AJ66" s="240"/>
      <c r="AK66" s="240"/>
      <c r="AL66" s="240"/>
      <c r="AM66" s="95"/>
      <c r="AN66" s="95"/>
      <c r="AO66" s="95"/>
      <c r="AP66" s="95"/>
      <c r="AQ66" s="95"/>
      <c r="AR66" s="95"/>
      <c r="AS66" s="95"/>
      <c r="AT66" s="95"/>
      <c r="AU66" s="95"/>
      <c r="AV66" s="95"/>
      <c r="AW66" s="95"/>
      <c r="AX66" s="95"/>
      <c r="AY66" s="103">
        <f t="shared" ca="1" si="13"/>
        <v>60</v>
      </c>
      <c r="AZ66" s="98">
        <f t="shared" ca="1" si="20"/>
        <v>0.38709677419354838</v>
      </c>
      <c r="BB66" t="s">
        <v>757</v>
      </c>
    </row>
    <row r="67" spans="1:54">
      <c r="A67" s="23"/>
      <c r="B67" s="153"/>
      <c r="C67" s="151" t="s">
        <v>711</v>
      </c>
      <c r="D67" s="35" t="s">
        <v>712</v>
      </c>
      <c r="E67" s="35" t="s">
        <v>722</v>
      </c>
      <c r="F67" s="35" t="s">
        <v>723</v>
      </c>
      <c r="G67" s="44" t="s">
        <v>25</v>
      </c>
      <c r="H67" s="235">
        <v>0.25</v>
      </c>
      <c r="I67" s="235">
        <v>0.25</v>
      </c>
      <c r="J67" s="235">
        <v>0</v>
      </c>
      <c r="K67" s="235">
        <v>0</v>
      </c>
      <c r="L67" s="235">
        <v>0</v>
      </c>
      <c r="M67" s="235">
        <v>0.25</v>
      </c>
      <c r="N67" s="243">
        <v>0.25</v>
      </c>
      <c r="O67" s="243">
        <v>0.25</v>
      </c>
      <c r="P67" s="243">
        <v>0.25</v>
      </c>
      <c r="Q67" s="243">
        <v>0.25</v>
      </c>
      <c r="R67" s="243">
        <v>0.25</v>
      </c>
      <c r="S67" s="243">
        <v>0.25</v>
      </c>
      <c r="T67" s="243">
        <v>0.25</v>
      </c>
      <c r="U67" s="243">
        <v>0.25</v>
      </c>
      <c r="V67" s="243">
        <v>0.25</v>
      </c>
      <c r="W67" s="243">
        <v>0.25</v>
      </c>
      <c r="X67" s="243">
        <v>0.25</v>
      </c>
      <c r="Y67" s="243">
        <v>0.25</v>
      </c>
      <c r="Z67" s="243">
        <v>0.25</v>
      </c>
      <c r="AA67" s="243">
        <v>0.25</v>
      </c>
      <c r="AB67" s="243">
        <v>0.25</v>
      </c>
      <c r="AC67" s="238">
        <v>0.25</v>
      </c>
      <c r="AD67" s="238">
        <v>0.25</v>
      </c>
      <c r="AE67" s="238">
        <v>0.25</v>
      </c>
      <c r="AF67" s="238">
        <v>0.25</v>
      </c>
      <c r="AG67" s="238">
        <v>0.25</v>
      </c>
      <c r="AH67" s="240">
        <v>0.25</v>
      </c>
      <c r="AI67" s="240">
        <v>0.25</v>
      </c>
      <c r="AJ67" s="240">
        <v>0.25</v>
      </c>
      <c r="AK67" s="240"/>
      <c r="AL67" s="240"/>
      <c r="AM67" s="95"/>
      <c r="AN67" s="95"/>
      <c r="AO67" s="95"/>
      <c r="AP67" s="95"/>
      <c r="AQ67" s="95"/>
      <c r="AR67" s="95"/>
      <c r="AS67" s="95"/>
      <c r="AT67" s="95"/>
      <c r="AU67" s="95"/>
      <c r="AV67" s="95"/>
      <c r="AW67" s="95"/>
      <c r="AX67" s="95"/>
      <c r="AY67" s="103">
        <f t="shared" ca="1" si="13"/>
        <v>32.5</v>
      </c>
      <c r="AZ67" s="98">
        <f t="shared" ref="AZ67" ca="1" si="21">IF(staffing_planned_net_work_days=0,0,AY67/staffing_planned_net_work_days)</f>
        <v>0.20967741935483872</v>
      </c>
    </row>
    <row r="68" spans="1:54">
      <c r="A68" s="23"/>
      <c r="B68" s="153"/>
      <c r="C68" s="151" t="s">
        <v>711</v>
      </c>
      <c r="D68" s="35" t="s">
        <v>712</v>
      </c>
      <c r="E68" s="35" t="s">
        <v>758</v>
      </c>
      <c r="F68" s="35" t="s">
        <v>723</v>
      </c>
      <c r="G68" s="44" t="s">
        <v>25</v>
      </c>
      <c r="H68" s="235"/>
      <c r="I68" s="235"/>
      <c r="J68" s="235"/>
      <c r="K68" s="235"/>
      <c r="L68" s="235"/>
      <c r="M68" s="235"/>
      <c r="N68" s="243">
        <v>1</v>
      </c>
      <c r="O68" s="243">
        <v>1</v>
      </c>
      <c r="P68" s="243">
        <v>1</v>
      </c>
      <c r="Q68" s="243">
        <v>1</v>
      </c>
      <c r="R68" s="243">
        <v>1</v>
      </c>
      <c r="S68" s="243">
        <v>1</v>
      </c>
      <c r="T68" s="243">
        <v>1</v>
      </c>
      <c r="U68" s="243">
        <v>1</v>
      </c>
      <c r="V68" s="243">
        <v>1</v>
      </c>
      <c r="W68" s="243">
        <v>1</v>
      </c>
      <c r="X68" s="243">
        <v>1</v>
      </c>
      <c r="Y68" s="243">
        <v>1</v>
      </c>
      <c r="Z68" s="243">
        <v>1</v>
      </c>
      <c r="AA68" s="243">
        <v>1</v>
      </c>
      <c r="AB68" s="243">
        <v>1</v>
      </c>
      <c r="AC68" s="238">
        <v>1</v>
      </c>
      <c r="AD68" s="238">
        <v>1</v>
      </c>
      <c r="AE68" s="238">
        <v>1</v>
      </c>
      <c r="AF68" s="238">
        <v>1</v>
      </c>
      <c r="AG68" s="238">
        <v>1</v>
      </c>
      <c r="AH68" s="240">
        <v>1</v>
      </c>
      <c r="AI68" s="240">
        <v>1</v>
      </c>
      <c r="AJ68" s="240">
        <v>1</v>
      </c>
      <c r="AK68" s="240"/>
      <c r="AL68" s="240"/>
      <c r="AM68" s="95"/>
      <c r="AN68" s="95"/>
      <c r="AO68" s="95"/>
      <c r="AP68" s="95"/>
      <c r="AQ68" s="95"/>
      <c r="AR68" s="95"/>
      <c r="AS68" s="95"/>
      <c r="AT68" s="95"/>
      <c r="AU68" s="95"/>
      <c r="AV68" s="95"/>
      <c r="AW68" s="95"/>
      <c r="AX68" s="95"/>
      <c r="AY68" s="103">
        <f t="shared" ca="1" si="13"/>
        <v>115</v>
      </c>
      <c r="AZ68" s="98">
        <f t="shared" ref="AZ68" ca="1" si="22">IF(staffing_planned_net_work_days=0,0,AY68/staffing_planned_net_work_days)</f>
        <v>0.74193548387096775</v>
      </c>
      <c r="BA68" t="s">
        <v>759</v>
      </c>
    </row>
    <row r="69" spans="1:54" ht="15.75" customHeight="1">
      <c r="A69" s="23"/>
      <c r="B69" s="153"/>
      <c r="C69" s="151" t="s">
        <v>711</v>
      </c>
      <c r="D69" s="35" t="s">
        <v>712</v>
      </c>
      <c r="E69" s="35" t="s">
        <v>758</v>
      </c>
      <c r="F69" s="35" t="s">
        <v>723</v>
      </c>
      <c r="G69" s="44" t="s">
        <v>25</v>
      </c>
      <c r="H69" s="235">
        <v>1</v>
      </c>
      <c r="I69" s="235">
        <v>1</v>
      </c>
      <c r="J69" s="235">
        <v>1</v>
      </c>
      <c r="K69" s="235">
        <v>1</v>
      </c>
      <c r="L69" s="235">
        <v>1</v>
      </c>
      <c r="M69" s="235">
        <v>1</v>
      </c>
      <c r="N69" s="243">
        <v>1</v>
      </c>
      <c r="O69" s="243">
        <v>1</v>
      </c>
      <c r="P69" s="243">
        <v>1</v>
      </c>
      <c r="Q69" s="243">
        <v>1</v>
      </c>
      <c r="R69" s="243">
        <v>1</v>
      </c>
      <c r="S69" s="243">
        <v>1</v>
      </c>
      <c r="T69" s="243">
        <v>1</v>
      </c>
      <c r="U69" s="243">
        <v>1</v>
      </c>
      <c r="V69" s="243">
        <v>1</v>
      </c>
      <c r="W69" s="243">
        <v>1</v>
      </c>
      <c r="X69" s="243">
        <v>1</v>
      </c>
      <c r="Y69" s="243">
        <v>1</v>
      </c>
      <c r="Z69" s="243">
        <v>1</v>
      </c>
      <c r="AA69" s="243">
        <v>1</v>
      </c>
      <c r="AB69" s="243">
        <v>1</v>
      </c>
      <c r="AC69" s="238">
        <v>1</v>
      </c>
      <c r="AD69" s="238">
        <v>1</v>
      </c>
      <c r="AE69" s="238">
        <v>1</v>
      </c>
      <c r="AF69" s="238">
        <v>1</v>
      </c>
      <c r="AG69" s="238">
        <v>1</v>
      </c>
      <c r="AH69" s="240">
        <v>1</v>
      </c>
      <c r="AI69" s="240">
        <v>1</v>
      </c>
      <c r="AJ69" s="240">
        <v>1</v>
      </c>
      <c r="AK69" s="240">
        <v>1</v>
      </c>
      <c r="AL69" s="240">
        <v>1</v>
      </c>
      <c r="AM69" s="95">
        <v>1</v>
      </c>
      <c r="AN69" s="95">
        <v>1</v>
      </c>
      <c r="AO69" s="95">
        <v>1</v>
      </c>
      <c r="AP69" s="95">
        <v>1</v>
      </c>
      <c r="AQ69" s="95"/>
      <c r="AR69" s="95"/>
      <c r="AS69" s="95"/>
      <c r="AT69" s="95"/>
      <c r="AU69" s="95"/>
      <c r="AV69" s="95"/>
      <c r="AW69" s="95"/>
      <c r="AX69" s="95"/>
      <c r="AY69" s="103">
        <f t="shared" ca="1" si="13"/>
        <v>175</v>
      </c>
      <c r="AZ69" s="98">
        <f t="shared" ref="AZ69:AZ70" ca="1" si="23">IF(staffing_planned_net_work_days=0,0,AY69/staffing_planned_net_work_days)</f>
        <v>1.1290322580645162</v>
      </c>
      <c r="BB69" t="s">
        <v>760</v>
      </c>
    </row>
    <row r="70" spans="1:54" ht="15.75" customHeight="1">
      <c r="A70" s="23"/>
      <c r="B70" s="153"/>
      <c r="C70" s="151" t="s">
        <v>711</v>
      </c>
      <c r="D70" s="35" t="s">
        <v>712</v>
      </c>
      <c r="E70" s="35" t="s">
        <v>761</v>
      </c>
      <c r="F70" s="35" t="s">
        <v>723</v>
      </c>
      <c r="G70" s="44" t="s">
        <v>25</v>
      </c>
      <c r="H70" s="235">
        <v>1</v>
      </c>
      <c r="I70" s="235">
        <v>1</v>
      </c>
      <c r="J70" s="235">
        <v>1</v>
      </c>
      <c r="K70" s="235">
        <v>1</v>
      </c>
      <c r="L70" s="235">
        <v>1</v>
      </c>
      <c r="M70" s="235">
        <v>1</v>
      </c>
      <c r="N70" s="243">
        <v>1</v>
      </c>
      <c r="O70" s="243">
        <v>1</v>
      </c>
      <c r="P70" s="243">
        <v>1</v>
      </c>
      <c r="Q70" s="243">
        <v>1</v>
      </c>
      <c r="R70" s="243">
        <v>1</v>
      </c>
      <c r="S70" s="243">
        <v>1</v>
      </c>
      <c r="T70" s="243">
        <v>1</v>
      </c>
      <c r="U70" s="243">
        <v>1</v>
      </c>
      <c r="V70" s="243">
        <v>1</v>
      </c>
      <c r="W70" s="243">
        <v>1</v>
      </c>
      <c r="X70" s="243">
        <v>1</v>
      </c>
      <c r="Y70" s="243">
        <v>1</v>
      </c>
      <c r="Z70" s="243">
        <v>1</v>
      </c>
      <c r="AA70" s="243">
        <v>1</v>
      </c>
      <c r="AB70" s="243">
        <v>1</v>
      </c>
      <c r="AC70" s="238">
        <v>1</v>
      </c>
      <c r="AD70" s="238">
        <v>1</v>
      </c>
      <c r="AE70" s="238">
        <v>1</v>
      </c>
      <c r="AF70" s="238">
        <v>1</v>
      </c>
      <c r="AG70" s="238">
        <v>1</v>
      </c>
      <c r="AH70" s="240">
        <v>1</v>
      </c>
      <c r="AI70" s="240">
        <v>1</v>
      </c>
      <c r="AJ70" s="240">
        <v>1</v>
      </c>
      <c r="AK70" s="240"/>
      <c r="AL70" s="240"/>
      <c r="AM70" s="95"/>
      <c r="AN70" s="95"/>
      <c r="AO70" s="95"/>
      <c r="AP70" s="95"/>
      <c r="AQ70" s="95"/>
      <c r="AR70" s="95"/>
      <c r="AS70" s="95"/>
      <c r="AT70" s="95"/>
      <c r="AU70" s="95"/>
      <c r="AV70" s="95"/>
      <c r="AW70" s="95"/>
      <c r="AX70" s="95"/>
      <c r="AY70" s="103">
        <f t="shared" ca="1" si="13"/>
        <v>145</v>
      </c>
      <c r="AZ70" s="98">
        <f t="shared" ca="1" si="23"/>
        <v>0.93548387096774188</v>
      </c>
      <c r="BB70" t="s">
        <v>754</v>
      </c>
    </row>
    <row r="71" spans="1:54" ht="15.75" customHeight="1">
      <c r="A71" s="23"/>
      <c r="B71" s="153"/>
      <c r="C71" s="151" t="s">
        <v>711</v>
      </c>
      <c r="D71" s="35" t="s">
        <v>712</v>
      </c>
      <c r="E71" s="35" t="s">
        <v>761</v>
      </c>
      <c r="F71" s="35" t="s">
        <v>723</v>
      </c>
      <c r="G71" s="44" t="s">
        <v>25</v>
      </c>
      <c r="H71" s="235"/>
      <c r="I71" s="235"/>
      <c r="J71" s="235"/>
      <c r="K71" s="235"/>
      <c r="L71" s="235"/>
      <c r="M71" s="235"/>
      <c r="N71" s="243">
        <v>1</v>
      </c>
      <c r="O71" s="243">
        <v>1</v>
      </c>
      <c r="P71" s="243">
        <v>1</v>
      </c>
      <c r="Q71" s="243">
        <v>1</v>
      </c>
      <c r="R71" s="243">
        <v>1</v>
      </c>
      <c r="S71" s="243">
        <v>1</v>
      </c>
      <c r="T71" s="243">
        <v>1</v>
      </c>
      <c r="U71" s="243">
        <v>1</v>
      </c>
      <c r="V71" s="243">
        <v>1</v>
      </c>
      <c r="W71" s="243">
        <v>1</v>
      </c>
      <c r="X71" s="243"/>
      <c r="Y71" s="243"/>
      <c r="Z71" s="243"/>
      <c r="AA71" s="243"/>
      <c r="AB71" s="243"/>
      <c r="AC71" s="238"/>
      <c r="AD71" s="238"/>
      <c r="AE71" s="238"/>
      <c r="AF71" s="238"/>
      <c r="AG71" s="238"/>
      <c r="AH71" s="240"/>
      <c r="AI71" s="240"/>
      <c r="AJ71" s="240"/>
      <c r="AK71" s="240"/>
      <c r="AL71" s="240"/>
      <c r="AM71" s="95"/>
      <c r="AN71" s="95"/>
      <c r="AO71" s="95"/>
      <c r="AP71" s="95"/>
      <c r="AQ71" s="95"/>
      <c r="AR71" s="95"/>
      <c r="AS71" s="95"/>
      <c r="AT71" s="95"/>
      <c r="AU71" s="95"/>
      <c r="AV71" s="95"/>
      <c r="AW71" s="95"/>
      <c r="AX71" s="95"/>
      <c r="AY71" s="103">
        <f t="shared" ca="1" si="13"/>
        <v>50</v>
      </c>
      <c r="AZ71" s="98">
        <f t="shared" ref="AZ71" ca="1" si="24">IF(staffing_planned_net_work_days=0,0,AY71/staffing_planned_net_work_days)</f>
        <v>0.32258064516129031</v>
      </c>
      <c r="BB71" t="s">
        <v>754</v>
      </c>
    </row>
    <row r="72" spans="1:54">
      <c r="A72" s="23"/>
      <c r="B72" s="153"/>
      <c r="C72" s="151" t="s">
        <v>711</v>
      </c>
      <c r="D72" s="35" t="s">
        <v>712</v>
      </c>
      <c r="E72" s="35" t="s">
        <v>762</v>
      </c>
      <c r="F72" s="35" t="s">
        <v>763</v>
      </c>
      <c r="G72" s="44" t="s">
        <v>26</v>
      </c>
      <c r="H72" s="235">
        <v>1</v>
      </c>
      <c r="I72" s="235">
        <v>1</v>
      </c>
      <c r="J72" s="235">
        <v>1</v>
      </c>
      <c r="K72" s="235">
        <v>1</v>
      </c>
      <c r="L72" s="235">
        <v>1</v>
      </c>
      <c r="M72" s="235">
        <v>1</v>
      </c>
      <c r="N72" s="243">
        <v>1</v>
      </c>
      <c r="O72" s="243">
        <v>1</v>
      </c>
      <c r="P72" s="243">
        <v>1</v>
      </c>
      <c r="Q72" s="243">
        <v>1</v>
      </c>
      <c r="R72" s="243">
        <v>1</v>
      </c>
      <c r="S72" s="243">
        <v>1</v>
      </c>
      <c r="T72" s="243">
        <v>1</v>
      </c>
      <c r="U72" s="243">
        <v>1</v>
      </c>
      <c r="V72" s="243">
        <v>1</v>
      </c>
      <c r="W72" s="243">
        <v>1</v>
      </c>
      <c r="X72" s="243">
        <v>1</v>
      </c>
      <c r="Y72" s="243">
        <v>1</v>
      </c>
      <c r="Z72" s="243">
        <v>1</v>
      </c>
      <c r="AA72" s="243">
        <v>1</v>
      </c>
      <c r="AB72" s="243">
        <v>1</v>
      </c>
      <c r="AC72" s="238">
        <v>1</v>
      </c>
      <c r="AD72" s="238">
        <v>1</v>
      </c>
      <c r="AE72" s="238">
        <v>1</v>
      </c>
      <c r="AF72" s="238">
        <v>1</v>
      </c>
      <c r="AG72" s="238">
        <v>1</v>
      </c>
      <c r="AH72" s="240">
        <v>1</v>
      </c>
      <c r="AI72" s="240">
        <v>1</v>
      </c>
      <c r="AJ72" s="240">
        <v>1</v>
      </c>
      <c r="AK72" s="240">
        <v>1</v>
      </c>
      <c r="AL72" s="240">
        <v>1</v>
      </c>
      <c r="AM72" s="95"/>
      <c r="AN72" s="95"/>
      <c r="AO72" s="95"/>
      <c r="AP72" s="95"/>
      <c r="AQ72" s="95"/>
      <c r="AR72" s="95"/>
      <c r="AS72" s="95"/>
      <c r="AT72" s="95"/>
      <c r="AU72" s="95"/>
      <c r="AV72" s="95"/>
      <c r="AW72" s="95"/>
      <c r="AX72" s="95"/>
      <c r="AY72" s="103">
        <f t="shared" ca="1" si="13"/>
        <v>155</v>
      </c>
      <c r="AZ72" s="98">
        <f t="shared" ref="AZ72:AZ73" ca="1" si="25">IF(staffing_planned_net_work_days=0,0,AY72/staffing_planned_net_work_days)</f>
        <v>1</v>
      </c>
      <c r="BB72" t="s">
        <v>764</v>
      </c>
    </row>
    <row r="73" spans="1:54">
      <c r="A73" s="23"/>
      <c r="B73" s="153"/>
      <c r="C73" s="151" t="s">
        <v>711</v>
      </c>
      <c r="D73" s="35" t="s">
        <v>712</v>
      </c>
      <c r="E73" s="35" t="s">
        <v>762</v>
      </c>
      <c r="F73" s="35" t="s">
        <v>763</v>
      </c>
      <c r="G73" s="44" t="s">
        <v>26</v>
      </c>
      <c r="H73" s="235">
        <v>1</v>
      </c>
      <c r="I73" s="235">
        <v>1</v>
      </c>
      <c r="J73" s="235">
        <v>1</v>
      </c>
      <c r="K73" s="235">
        <v>1</v>
      </c>
      <c r="L73" s="235">
        <v>1</v>
      </c>
      <c r="M73" s="235">
        <v>1</v>
      </c>
      <c r="N73" s="243">
        <v>1</v>
      </c>
      <c r="O73" s="243">
        <v>1</v>
      </c>
      <c r="P73" s="243">
        <v>1</v>
      </c>
      <c r="Q73" s="243">
        <v>1</v>
      </c>
      <c r="R73" s="243">
        <v>1</v>
      </c>
      <c r="S73" s="243">
        <v>1</v>
      </c>
      <c r="T73" s="243">
        <v>1</v>
      </c>
      <c r="U73" s="243">
        <v>1</v>
      </c>
      <c r="V73" s="243">
        <v>1</v>
      </c>
      <c r="W73" s="243">
        <v>1</v>
      </c>
      <c r="X73" s="243">
        <v>1</v>
      </c>
      <c r="Y73" s="243">
        <v>1</v>
      </c>
      <c r="Z73" s="243">
        <v>1</v>
      </c>
      <c r="AA73" s="243">
        <v>1</v>
      </c>
      <c r="AB73" s="243">
        <v>1</v>
      </c>
      <c r="AC73" s="238">
        <v>1</v>
      </c>
      <c r="AD73" s="238">
        <v>1</v>
      </c>
      <c r="AE73" s="238">
        <v>1</v>
      </c>
      <c r="AF73" s="238">
        <v>1</v>
      </c>
      <c r="AG73" s="238">
        <v>1</v>
      </c>
      <c r="AH73" s="240">
        <v>1</v>
      </c>
      <c r="AI73" s="240">
        <v>1</v>
      </c>
      <c r="AJ73" s="240">
        <v>1</v>
      </c>
      <c r="AK73" s="240">
        <v>1</v>
      </c>
      <c r="AL73" s="240">
        <v>1</v>
      </c>
      <c r="AM73" s="95">
        <v>1</v>
      </c>
      <c r="AN73" s="95">
        <v>1</v>
      </c>
      <c r="AO73" s="95">
        <v>1</v>
      </c>
      <c r="AP73" s="95">
        <v>1</v>
      </c>
      <c r="AQ73" s="95"/>
      <c r="AR73" s="95"/>
      <c r="AS73" s="95"/>
      <c r="AT73" s="95"/>
      <c r="AU73" s="95"/>
      <c r="AV73" s="95"/>
      <c r="AW73" s="95"/>
      <c r="AX73" s="95"/>
      <c r="AY73" s="103">
        <f t="shared" ca="1" si="13"/>
        <v>175</v>
      </c>
      <c r="AZ73" s="98">
        <f t="shared" ca="1" si="25"/>
        <v>1.1290322580645162</v>
      </c>
      <c r="BB73" t="s">
        <v>754</v>
      </c>
    </row>
    <row r="74" spans="1:54">
      <c r="A74" s="23"/>
      <c r="B74" s="153"/>
      <c r="C74" s="151" t="s">
        <v>711</v>
      </c>
      <c r="D74" s="35" t="s">
        <v>712</v>
      </c>
      <c r="E74" s="35" t="s">
        <v>762</v>
      </c>
      <c r="F74" s="35" t="s">
        <v>763</v>
      </c>
      <c r="G74" s="44" t="s">
        <v>26</v>
      </c>
      <c r="H74" s="235">
        <v>1</v>
      </c>
      <c r="I74" s="235">
        <v>1</v>
      </c>
      <c r="J74" s="235">
        <v>1</v>
      </c>
      <c r="K74" s="235">
        <v>1</v>
      </c>
      <c r="L74" s="235">
        <v>1</v>
      </c>
      <c r="M74" s="235">
        <v>1</v>
      </c>
      <c r="N74" s="243">
        <v>1</v>
      </c>
      <c r="O74" s="243">
        <v>1</v>
      </c>
      <c r="P74" s="243">
        <v>1</v>
      </c>
      <c r="Q74" s="243">
        <v>1</v>
      </c>
      <c r="R74" s="243">
        <v>1</v>
      </c>
      <c r="S74" s="243">
        <v>1</v>
      </c>
      <c r="T74" s="243">
        <v>1</v>
      </c>
      <c r="U74" s="243">
        <v>1</v>
      </c>
      <c r="V74" s="243">
        <v>1</v>
      </c>
      <c r="W74" s="243">
        <v>1</v>
      </c>
      <c r="X74" s="243">
        <v>1</v>
      </c>
      <c r="Y74" s="243">
        <v>1</v>
      </c>
      <c r="Z74" s="243">
        <v>1</v>
      </c>
      <c r="AA74" s="243">
        <v>1</v>
      </c>
      <c r="AB74" s="243">
        <v>1</v>
      </c>
      <c r="AC74" s="238">
        <v>1</v>
      </c>
      <c r="AD74" s="238">
        <v>1</v>
      </c>
      <c r="AE74" s="238">
        <v>1</v>
      </c>
      <c r="AF74" s="238">
        <v>1</v>
      </c>
      <c r="AG74" s="238">
        <v>1</v>
      </c>
      <c r="AH74" s="240">
        <v>1</v>
      </c>
      <c r="AI74" s="240">
        <v>1</v>
      </c>
      <c r="AJ74" s="240">
        <v>1</v>
      </c>
      <c r="AK74" s="240"/>
      <c r="AL74" s="240"/>
      <c r="AM74" s="95"/>
      <c r="AN74" s="95"/>
      <c r="AO74" s="95"/>
      <c r="AP74" s="95"/>
      <c r="AQ74" s="95"/>
      <c r="AR74" s="95"/>
      <c r="AS74" s="95"/>
      <c r="AT74" s="95"/>
      <c r="AU74" s="95"/>
      <c r="AV74" s="95"/>
      <c r="AW74" s="95"/>
      <c r="AX74" s="95"/>
      <c r="AY74" s="103">
        <f t="shared" ca="1" si="13"/>
        <v>145</v>
      </c>
      <c r="AZ74" s="98">
        <f t="shared" ref="AZ74" ca="1" si="26">IF(staffing_planned_net_work_days=0,0,AY74/staffing_planned_net_work_days)</f>
        <v>0.93548387096774188</v>
      </c>
      <c r="BB74" t="s">
        <v>765</v>
      </c>
    </row>
    <row r="75" spans="1:54">
      <c r="A75" s="23"/>
      <c r="B75" s="153"/>
      <c r="C75" s="151" t="s">
        <v>711</v>
      </c>
      <c r="D75" s="35" t="s">
        <v>712</v>
      </c>
      <c r="E75" s="35" t="s">
        <v>766</v>
      </c>
      <c r="F75" s="35" t="s">
        <v>763</v>
      </c>
      <c r="G75" s="44" t="s">
        <v>26</v>
      </c>
      <c r="H75" s="235"/>
      <c r="I75" s="235"/>
      <c r="J75" s="235"/>
      <c r="K75" s="235"/>
      <c r="L75" s="235"/>
      <c r="M75" s="235"/>
      <c r="N75" s="243">
        <v>1</v>
      </c>
      <c r="O75" s="243">
        <v>1</v>
      </c>
      <c r="P75" s="243">
        <v>1</v>
      </c>
      <c r="Q75" s="243">
        <v>1</v>
      </c>
      <c r="R75" s="243">
        <v>1</v>
      </c>
      <c r="S75" s="243">
        <v>1</v>
      </c>
      <c r="T75" s="243">
        <v>1</v>
      </c>
      <c r="U75" s="243">
        <v>1</v>
      </c>
      <c r="V75" s="243">
        <v>1</v>
      </c>
      <c r="W75" s="243">
        <v>1</v>
      </c>
      <c r="X75" s="243">
        <v>1</v>
      </c>
      <c r="Y75" s="243">
        <v>1</v>
      </c>
      <c r="Z75" s="243">
        <v>1</v>
      </c>
      <c r="AA75" s="243">
        <v>1</v>
      </c>
      <c r="AB75" s="243">
        <v>1</v>
      </c>
      <c r="AC75" s="238">
        <v>1</v>
      </c>
      <c r="AD75" s="238">
        <v>1</v>
      </c>
      <c r="AE75" s="238">
        <v>1</v>
      </c>
      <c r="AF75" s="238">
        <v>1</v>
      </c>
      <c r="AG75" s="238">
        <v>1</v>
      </c>
      <c r="AH75" s="240">
        <v>1</v>
      </c>
      <c r="AI75" s="240">
        <v>1</v>
      </c>
      <c r="AJ75" s="240">
        <v>1</v>
      </c>
      <c r="AK75" s="240"/>
      <c r="AL75" s="240"/>
      <c r="AM75" s="95"/>
      <c r="AN75" s="95"/>
      <c r="AO75" s="95"/>
      <c r="AP75" s="95"/>
      <c r="AQ75" s="95"/>
      <c r="AR75" s="95"/>
      <c r="AS75" s="95"/>
      <c r="AT75" s="95"/>
      <c r="AU75" s="95"/>
      <c r="AV75" s="95"/>
      <c r="AW75" s="95"/>
      <c r="AX75" s="95"/>
      <c r="AY75" s="103">
        <f t="shared" ca="1" si="13"/>
        <v>115</v>
      </c>
      <c r="AZ75" s="98">
        <f t="shared" ref="AZ75:AZ76" ca="1" si="27">IF(staffing_planned_net_work_days=0,0,AY75/staffing_planned_net_work_days)</f>
        <v>0.74193548387096775</v>
      </c>
      <c r="BB75" t="s">
        <v>767</v>
      </c>
    </row>
    <row r="76" spans="1:54">
      <c r="A76" s="23"/>
      <c r="B76" s="153"/>
      <c r="C76" s="151" t="s">
        <v>711</v>
      </c>
      <c r="D76" s="35" t="s">
        <v>712</v>
      </c>
      <c r="E76" s="35" t="s">
        <v>766</v>
      </c>
      <c r="F76" s="35" t="s">
        <v>763</v>
      </c>
      <c r="G76" s="44" t="s">
        <v>26</v>
      </c>
      <c r="H76" s="235"/>
      <c r="I76" s="235"/>
      <c r="J76" s="235"/>
      <c r="K76" s="235"/>
      <c r="L76" s="235"/>
      <c r="M76" s="235"/>
      <c r="N76" s="243">
        <v>1</v>
      </c>
      <c r="O76" s="243">
        <v>1</v>
      </c>
      <c r="P76" s="243">
        <v>1</v>
      </c>
      <c r="Q76" s="243">
        <v>1</v>
      </c>
      <c r="R76" s="243">
        <v>1</v>
      </c>
      <c r="S76" s="243">
        <v>1</v>
      </c>
      <c r="T76" s="243">
        <v>1</v>
      </c>
      <c r="U76" s="243">
        <v>1</v>
      </c>
      <c r="V76" s="243">
        <v>1</v>
      </c>
      <c r="W76" s="243">
        <v>1</v>
      </c>
      <c r="X76" s="243">
        <v>1</v>
      </c>
      <c r="Y76" s="243">
        <v>1</v>
      </c>
      <c r="Z76" s="243">
        <v>1</v>
      </c>
      <c r="AA76" s="243">
        <v>1</v>
      </c>
      <c r="AB76" s="243">
        <v>1</v>
      </c>
      <c r="AC76" s="238">
        <v>1</v>
      </c>
      <c r="AD76" s="238">
        <v>1</v>
      </c>
      <c r="AE76" s="238">
        <v>1</v>
      </c>
      <c r="AF76" s="238">
        <v>1</v>
      </c>
      <c r="AG76" s="238">
        <v>1</v>
      </c>
      <c r="AH76" s="240"/>
      <c r="AI76" s="240"/>
      <c r="AJ76" s="240"/>
      <c r="AK76" s="240"/>
      <c r="AL76" s="240"/>
      <c r="AM76" s="95"/>
      <c r="AN76" s="95"/>
      <c r="AO76" s="95"/>
      <c r="AP76" s="95"/>
      <c r="AQ76" s="95"/>
      <c r="AR76" s="95"/>
      <c r="AS76" s="95"/>
      <c r="AT76" s="95"/>
      <c r="AU76" s="95"/>
      <c r="AV76" s="95"/>
      <c r="AW76" s="95"/>
      <c r="AX76" s="95"/>
      <c r="AY76" s="103">
        <f t="shared" ca="1" si="13"/>
        <v>100</v>
      </c>
      <c r="AZ76" s="98">
        <f t="shared" ca="1" si="27"/>
        <v>0.64516129032258063</v>
      </c>
      <c r="BB76" t="s">
        <v>768</v>
      </c>
    </row>
    <row r="77" spans="1:54">
      <c r="A77" s="23"/>
      <c r="B77" s="153"/>
      <c r="C77" s="151" t="s">
        <v>711</v>
      </c>
      <c r="D77" s="35" t="s">
        <v>712</v>
      </c>
      <c r="E77" s="35" t="s">
        <v>735</v>
      </c>
      <c r="F77" s="35" t="s">
        <v>736</v>
      </c>
      <c r="G77" s="44" t="s">
        <v>27</v>
      </c>
      <c r="H77" s="235">
        <v>1</v>
      </c>
      <c r="I77" s="235">
        <v>1</v>
      </c>
      <c r="J77" s="235">
        <v>1</v>
      </c>
      <c r="K77" s="235">
        <v>1</v>
      </c>
      <c r="L77" s="235">
        <v>1</v>
      </c>
      <c r="M77" s="235">
        <v>1</v>
      </c>
      <c r="N77" s="243">
        <v>1</v>
      </c>
      <c r="O77" s="243">
        <v>1</v>
      </c>
      <c r="P77" s="243">
        <v>1</v>
      </c>
      <c r="Q77" s="243">
        <v>1</v>
      </c>
      <c r="R77" s="243">
        <v>1</v>
      </c>
      <c r="S77" s="243">
        <v>1</v>
      </c>
      <c r="T77" s="243">
        <v>1</v>
      </c>
      <c r="U77" s="243">
        <v>1</v>
      </c>
      <c r="V77" s="243">
        <v>1</v>
      </c>
      <c r="W77" s="243">
        <v>0.5</v>
      </c>
      <c r="X77" s="243">
        <v>0.5</v>
      </c>
      <c r="Y77" s="243">
        <v>0.5</v>
      </c>
      <c r="Z77" s="243">
        <v>0.5</v>
      </c>
      <c r="AA77" s="243">
        <v>0.5</v>
      </c>
      <c r="AB77" s="243">
        <v>0.5</v>
      </c>
      <c r="AC77" s="238">
        <v>0.5</v>
      </c>
      <c r="AD77" s="238">
        <v>0.5</v>
      </c>
      <c r="AE77" s="238">
        <v>0.5</v>
      </c>
      <c r="AF77" s="238">
        <v>0.5</v>
      </c>
      <c r="AG77" s="238">
        <v>0.5</v>
      </c>
      <c r="AH77" s="240">
        <v>0.5</v>
      </c>
      <c r="AI77" s="240">
        <v>0.5</v>
      </c>
      <c r="AJ77" s="240">
        <v>0.5</v>
      </c>
      <c r="AK77" s="240">
        <v>0.5</v>
      </c>
      <c r="AL77" s="240">
        <v>0.5</v>
      </c>
      <c r="AM77" s="95"/>
      <c r="AN77" s="95"/>
      <c r="AO77" s="95"/>
      <c r="AP77" s="95"/>
      <c r="AQ77" s="95"/>
      <c r="AR77" s="95"/>
      <c r="AS77" s="95"/>
      <c r="AT77" s="95"/>
      <c r="AU77" s="95"/>
      <c r="AV77" s="95"/>
      <c r="AW77" s="95"/>
      <c r="AX77" s="95"/>
      <c r="AY77" s="103">
        <f t="shared" ca="1" si="13"/>
        <v>115</v>
      </c>
      <c r="AZ77" s="98">
        <f t="shared" ref="AZ77" ca="1" si="28">IF(staffing_planned_net_work_days=0,0,AY77/staffing_planned_net_work_days)</f>
        <v>0.74193548387096775</v>
      </c>
      <c r="BB77" t="s">
        <v>31</v>
      </c>
    </row>
    <row r="78" spans="1:54" ht="15.75" customHeight="1">
      <c r="A78" s="23"/>
      <c r="B78" s="153"/>
      <c r="C78" s="151" t="s">
        <v>711</v>
      </c>
      <c r="D78" s="35" t="s">
        <v>712</v>
      </c>
      <c r="E78" s="35" t="s">
        <v>735</v>
      </c>
      <c r="F78" s="35" t="s">
        <v>736</v>
      </c>
      <c r="G78" s="44" t="s">
        <v>24</v>
      </c>
      <c r="H78" s="235"/>
      <c r="I78" s="235"/>
      <c r="J78" s="235"/>
      <c r="K78" s="235"/>
      <c r="L78" s="235"/>
      <c r="M78" s="235"/>
      <c r="N78" s="243"/>
      <c r="O78" s="243"/>
      <c r="P78" s="243"/>
      <c r="Q78" s="243"/>
      <c r="R78" s="243"/>
      <c r="S78" s="243"/>
      <c r="T78" s="243"/>
      <c r="U78" s="243"/>
      <c r="V78" s="243"/>
      <c r="W78" s="243">
        <v>0.5</v>
      </c>
      <c r="X78" s="243">
        <v>0.5</v>
      </c>
      <c r="Y78" s="243">
        <v>0.5</v>
      </c>
      <c r="Z78" s="243">
        <v>0.5</v>
      </c>
      <c r="AA78" s="243">
        <v>0.5</v>
      </c>
      <c r="AB78" s="243">
        <v>0.5</v>
      </c>
      <c r="AC78" s="238">
        <v>0.5</v>
      </c>
      <c r="AD78" s="238">
        <v>0.5</v>
      </c>
      <c r="AE78" s="238">
        <v>0.5</v>
      </c>
      <c r="AF78" s="238">
        <v>0.5</v>
      </c>
      <c r="AG78" s="238">
        <v>0.5</v>
      </c>
      <c r="AH78" s="240">
        <v>0.5</v>
      </c>
      <c r="AI78" s="240">
        <v>0.5</v>
      </c>
      <c r="AJ78" s="240">
        <v>0.5</v>
      </c>
      <c r="AK78" s="240">
        <v>0.5</v>
      </c>
      <c r="AL78" s="240">
        <v>0.5</v>
      </c>
      <c r="AM78" s="95"/>
      <c r="AN78" s="95"/>
      <c r="AO78" s="95"/>
      <c r="AP78" s="95"/>
      <c r="AQ78" s="95"/>
      <c r="AR78" s="95"/>
      <c r="AS78" s="95"/>
      <c r="AT78" s="95"/>
      <c r="AU78" s="95"/>
      <c r="AV78" s="95"/>
      <c r="AW78" s="95"/>
      <c r="AX78" s="95"/>
      <c r="AY78" s="103">
        <f t="shared" ref="AY78:AY80" ca="1" si="29">SUM(INDIRECT(ADDRESS(ROW(),CELL("col",staffing_column_before_weeks)+1) &amp; ":" &amp; ADDRESS(ROW(),CELL("col", staffing_column_after_weeks)-1)))*5</f>
        <v>40</v>
      </c>
      <c r="AZ78" s="98">
        <f ca="1">IF(staffing_planned_net_work_days=0,0,AY78/staffing_planned_net_work_days)</f>
        <v>0.25806451612903225</v>
      </c>
      <c r="BB78" t="s">
        <v>31</v>
      </c>
    </row>
    <row r="79" spans="1:54" ht="15.75" customHeight="1">
      <c r="A79" s="23"/>
      <c r="B79" s="153"/>
      <c r="C79" s="151" t="s">
        <v>711</v>
      </c>
      <c r="D79" s="35" t="s">
        <v>712</v>
      </c>
      <c r="E79" s="35" t="s">
        <v>735</v>
      </c>
      <c r="F79" s="35" t="s">
        <v>763</v>
      </c>
      <c r="G79" s="44" t="s">
        <v>29</v>
      </c>
      <c r="H79" s="235"/>
      <c r="I79" s="235"/>
      <c r="J79" s="235"/>
      <c r="K79" s="235"/>
      <c r="L79" s="235"/>
      <c r="M79" s="235"/>
      <c r="N79" s="243"/>
      <c r="O79" s="243"/>
      <c r="P79" s="243"/>
      <c r="Q79" s="243"/>
      <c r="R79" s="243"/>
      <c r="S79" s="243">
        <v>1</v>
      </c>
      <c r="T79" s="243">
        <v>1</v>
      </c>
      <c r="U79" s="243">
        <v>1</v>
      </c>
      <c r="V79" s="243">
        <v>1</v>
      </c>
      <c r="W79" s="243">
        <v>1</v>
      </c>
      <c r="X79" s="243">
        <v>1</v>
      </c>
      <c r="Y79" s="243">
        <v>1</v>
      </c>
      <c r="Z79" s="243">
        <v>1</v>
      </c>
      <c r="AA79" s="243">
        <v>1</v>
      </c>
      <c r="AB79" s="243">
        <v>1</v>
      </c>
      <c r="AC79" s="238">
        <v>1</v>
      </c>
      <c r="AD79" s="238">
        <v>1</v>
      </c>
      <c r="AE79" s="238">
        <v>0.5</v>
      </c>
      <c r="AF79" s="238">
        <v>0.5</v>
      </c>
      <c r="AG79" s="238">
        <v>0.5</v>
      </c>
      <c r="AH79" s="238">
        <v>0.5</v>
      </c>
      <c r="AI79" s="238">
        <v>0.5</v>
      </c>
      <c r="AJ79" s="238">
        <v>0.5</v>
      </c>
      <c r="AK79" s="240"/>
      <c r="AL79" s="240"/>
      <c r="AM79" s="95"/>
      <c r="AN79" s="95"/>
      <c r="AO79" s="95"/>
      <c r="AP79" s="95"/>
      <c r="AQ79" s="95"/>
      <c r="AR79" s="95"/>
      <c r="AS79" s="95"/>
      <c r="AT79" s="95"/>
      <c r="AU79" s="95"/>
      <c r="AV79" s="95"/>
      <c r="AW79" s="95"/>
      <c r="AX79" s="95"/>
      <c r="AY79" s="103">
        <f t="shared" ca="1" si="29"/>
        <v>75</v>
      </c>
      <c r="AZ79" s="98">
        <f ca="1">IF(staffing_planned_net_work_days=0,0,AY79/staffing_planned_net_work_days)</f>
        <v>0.4838709677419355</v>
      </c>
      <c r="BB79" t="s">
        <v>31</v>
      </c>
    </row>
    <row r="80" spans="1:54" ht="15.75" customHeight="1">
      <c r="A80" s="23"/>
      <c r="B80" s="153"/>
      <c r="C80" s="151" t="s">
        <v>711</v>
      </c>
      <c r="D80" s="35" t="s">
        <v>712</v>
      </c>
      <c r="E80" s="35" t="s">
        <v>715</v>
      </c>
      <c r="F80" s="35"/>
      <c r="G80" s="44" t="s">
        <v>34</v>
      </c>
      <c r="H80" s="235"/>
      <c r="I80" s="235"/>
      <c r="J80" s="235"/>
      <c r="K80" s="235"/>
      <c r="L80" s="235"/>
      <c r="M80" s="235"/>
      <c r="N80" s="243"/>
      <c r="O80" s="243"/>
      <c r="P80" s="243"/>
      <c r="Q80" s="243"/>
      <c r="R80" s="243"/>
      <c r="S80" s="243"/>
      <c r="T80" s="243"/>
      <c r="U80" s="243"/>
      <c r="V80" s="243"/>
      <c r="W80" s="243"/>
      <c r="X80" s="243"/>
      <c r="Y80" s="243"/>
      <c r="Z80" s="243"/>
      <c r="AA80" s="243">
        <v>0.5</v>
      </c>
      <c r="AB80" s="243">
        <v>0.5</v>
      </c>
      <c r="AC80" s="238">
        <v>0.5</v>
      </c>
      <c r="AD80" s="238">
        <v>0.5</v>
      </c>
      <c r="AE80" s="238">
        <v>0.5</v>
      </c>
      <c r="AF80" s="238">
        <v>0.5</v>
      </c>
      <c r="AG80" s="238">
        <v>0.5</v>
      </c>
      <c r="AH80" s="240">
        <v>0.5</v>
      </c>
      <c r="AI80" s="240"/>
      <c r="AJ80" s="240"/>
      <c r="AK80" s="240"/>
      <c r="AL80" s="240"/>
      <c r="AM80" s="95"/>
      <c r="AN80" s="95"/>
      <c r="AO80" s="95"/>
      <c r="AP80" s="95"/>
      <c r="AQ80" s="95"/>
      <c r="AR80" s="95"/>
      <c r="AS80" s="95"/>
      <c r="AT80" s="95"/>
      <c r="AU80" s="95"/>
      <c r="AV80" s="95"/>
      <c r="AW80" s="95"/>
      <c r="AX80" s="95"/>
      <c r="AY80" s="103">
        <f t="shared" ca="1" si="29"/>
        <v>20</v>
      </c>
      <c r="AZ80" s="98">
        <f ca="1">IF(staffing_planned_net_work_days=0,0,AY80/staffing_planned_net_work_days)</f>
        <v>0.12903225806451613</v>
      </c>
      <c r="BB80" t="s">
        <v>769</v>
      </c>
    </row>
    <row r="81" spans="1:52" ht="15.75" customHeight="1">
      <c r="A81" s="23"/>
      <c r="B81" s="153"/>
      <c r="C81" s="151"/>
      <c r="D81" s="35"/>
      <c r="E81" s="35"/>
      <c r="F81" s="35"/>
      <c r="G81" s="44"/>
      <c r="H81" s="235"/>
      <c r="I81" s="236"/>
      <c r="J81" s="236"/>
      <c r="K81" s="236"/>
      <c r="L81" s="236"/>
      <c r="M81" s="236"/>
      <c r="N81" s="243"/>
      <c r="O81" s="243"/>
      <c r="P81" s="243"/>
      <c r="Q81" s="243"/>
      <c r="R81" s="243"/>
      <c r="S81" s="243"/>
      <c r="T81" s="243"/>
      <c r="U81" s="243"/>
      <c r="V81" s="243"/>
      <c r="W81" s="243"/>
      <c r="X81" s="243"/>
      <c r="Y81" s="243"/>
      <c r="Z81" s="243"/>
      <c r="AA81" s="243"/>
      <c r="AB81" s="243"/>
      <c r="AC81" s="238"/>
      <c r="AD81" s="238"/>
      <c r="AE81" s="238"/>
      <c r="AF81" s="238"/>
      <c r="AG81" s="238"/>
      <c r="AH81" s="240"/>
      <c r="AI81" s="240"/>
      <c r="AJ81" s="240"/>
      <c r="AK81" s="240"/>
      <c r="AL81" s="240"/>
      <c r="AM81" s="95"/>
      <c r="AN81" s="95"/>
      <c r="AO81" s="95"/>
      <c r="AP81" s="95"/>
      <c r="AQ81" s="95"/>
      <c r="AR81" s="95"/>
      <c r="AS81" s="95"/>
      <c r="AT81" s="95"/>
      <c r="AU81" s="95"/>
      <c r="AV81" s="95"/>
      <c r="AW81" s="95"/>
      <c r="AX81" s="95"/>
      <c r="AY81" s="103">
        <f t="shared" ca="1" si="13"/>
        <v>0</v>
      </c>
      <c r="AZ81" s="98">
        <f t="shared" ref="AZ81:AZ82" ca="1" si="30">IF(staffing_planned_net_work_days=0,0,AY81/staffing_planned_net_work_days)</f>
        <v>0</v>
      </c>
    </row>
    <row r="82" spans="1:52" ht="15.75" customHeight="1">
      <c r="A82" s="23"/>
      <c r="B82" s="153"/>
      <c r="C82" s="152"/>
      <c r="D82" s="35"/>
      <c r="E82" s="35"/>
      <c r="F82" s="35"/>
      <c r="G82" s="44"/>
      <c r="H82" s="235"/>
      <c r="I82" s="236"/>
      <c r="J82" s="236"/>
      <c r="K82" s="236"/>
      <c r="L82" s="236"/>
      <c r="M82" s="236"/>
      <c r="N82" s="243"/>
      <c r="O82" s="243"/>
      <c r="P82" s="243"/>
      <c r="Q82" s="243"/>
      <c r="R82" s="243"/>
      <c r="S82" s="243"/>
      <c r="T82" s="243"/>
      <c r="U82" s="243"/>
      <c r="V82" s="243"/>
      <c r="W82" s="243"/>
      <c r="X82" s="243"/>
      <c r="Y82" s="243"/>
      <c r="Z82" s="243"/>
      <c r="AA82" s="243"/>
      <c r="AB82" s="243"/>
      <c r="AC82" s="238"/>
      <c r="AD82" s="238"/>
      <c r="AE82" s="238"/>
      <c r="AF82" s="238"/>
      <c r="AG82" s="238"/>
      <c r="AH82" s="240"/>
      <c r="AI82" s="240"/>
      <c r="AJ82" s="240"/>
      <c r="AK82" s="240"/>
      <c r="AL82" s="240"/>
      <c r="AM82" s="95"/>
      <c r="AN82" s="95"/>
      <c r="AO82" s="95"/>
      <c r="AP82" s="95"/>
      <c r="AQ82" s="95"/>
      <c r="AR82" s="95"/>
      <c r="AS82" s="95"/>
      <c r="AT82" s="95"/>
      <c r="AU82" s="95"/>
      <c r="AV82" s="95"/>
      <c r="AW82" s="95"/>
      <c r="AX82" s="95"/>
      <c r="AY82" s="103">
        <f t="shared" ca="1" si="13"/>
        <v>0</v>
      </c>
      <c r="AZ82" s="98">
        <f t="shared" ca="1" si="30"/>
        <v>0</v>
      </c>
    </row>
    <row r="83" spans="1:52" ht="15.75" customHeight="1">
      <c r="B83" s="337" t="s">
        <v>770</v>
      </c>
      <c r="C83" s="338"/>
      <c r="D83" s="339"/>
      <c r="E83" s="339"/>
      <c r="F83" s="339"/>
      <c r="G83" s="340"/>
      <c r="H83" s="341">
        <f t="shared" ref="H83:AX83" ca="1" si="31">SUM(INDIRECT(ADDRESS(CELL("row", staffing_row_before_team)+1, COLUMN()) &amp; ":" &amp; ADDRESS(CELL("row", staffing_row_after_team)-1, COLUMN())))*5</f>
        <v>113.75</v>
      </c>
      <c r="I83" s="96">
        <f t="shared" ca="1" si="31"/>
        <v>113.75</v>
      </c>
      <c r="J83" s="96">
        <f t="shared" ca="1" si="31"/>
        <v>112.5</v>
      </c>
      <c r="K83" s="96">
        <f t="shared" ca="1" si="31"/>
        <v>112.5</v>
      </c>
      <c r="L83" s="96">
        <f t="shared" ca="1" si="31"/>
        <v>112.5</v>
      </c>
      <c r="M83" s="96">
        <f t="shared" ca="1" si="31"/>
        <v>113.75</v>
      </c>
      <c r="N83" s="96">
        <f t="shared" ca="1" si="31"/>
        <v>153.75</v>
      </c>
      <c r="O83" s="96">
        <f t="shared" ca="1" si="31"/>
        <v>153.75</v>
      </c>
      <c r="P83" s="96">
        <f t="shared" ca="1" si="31"/>
        <v>153.75</v>
      </c>
      <c r="Q83" s="96">
        <f t="shared" ca="1" si="31"/>
        <v>153.75</v>
      </c>
      <c r="R83" s="96">
        <f t="shared" ca="1" si="31"/>
        <v>152.5</v>
      </c>
      <c r="S83" s="96">
        <f t="shared" ca="1" si="31"/>
        <v>157.5</v>
      </c>
      <c r="T83" s="96">
        <f t="shared" ca="1" si="31"/>
        <v>154.25</v>
      </c>
      <c r="U83" s="96">
        <f t="shared" ca="1" si="31"/>
        <v>154.25</v>
      </c>
      <c r="V83" s="96">
        <f t="shared" ca="1" si="31"/>
        <v>154.25</v>
      </c>
      <c r="W83" s="96">
        <f t="shared" ca="1" si="31"/>
        <v>154.25</v>
      </c>
      <c r="X83" s="96">
        <f t="shared" ca="1" si="31"/>
        <v>154.25</v>
      </c>
      <c r="Y83" s="96">
        <f t="shared" ca="1" si="31"/>
        <v>154.25</v>
      </c>
      <c r="Z83" s="96">
        <f t="shared" ca="1" si="31"/>
        <v>154.25</v>
      </c>
      <c r="AA83" s="96">
        <f t="shared" ca="1" si="31"/>
        <v>156.75</v>
      </c>
      <c r="AB83" s="96">
        <f t="shared" ca="1" si="31"/>
        <v>156.75</v>
      </c>
      <c r="AC83" s="96">
        <f t="shared" ca="1" si="31"/>
        <v>139.25</v>
      </c>
      <c r="AD83" s="96">
        <f t="shared" ca="1" si="31"/>
        <v>139.25</v>
      </c>
      <c r="AE83" s="96">
        <f t="shared" ca="1" si="31"/>
        <v>136.75</v>
      </c>
      <c r="AF83" s="96">
        <f t="shared" ca="1" si="31"/>
        <v>136.75</v>
      </c>
      <c r="AG83" s="96">
        <f t="shared" ca="1" si="31"/>
        <v>136.75</v>
      </c>
      <c r="AH83" s="96">
        <f t="shared" ca="1" si="31"/>
        <v>128</v>
      </c>
      <c r="AI83" s="96">
        <f t="shared" ca="1" si="31"/>
        <v>125</v>
      </c>
      <c r="AJ83" s="96">
        <f t="shared" ca="1" si="31"/>
        <v>120</v>
      </c>
      <c r="AK83" s="96">
        <f t="shared" ca="1" si="31"/>
        <v>56.25</v>
      </c>
      <c r="AL83" s="96">
        <f t="shared" ca="1" si="31"/>
        <v>55</v>
      </c>
      <c r="AM83" s="96">
        <f t="shared" ca="1" si="31"/>
        <v>40</v>
      </c>
      <c r="AN83" s="96">
        <f t="shared" ca="1" si="31"/>
        <v>40</v>
      </c>
      <c r="AO83" s="96">
        <f t="shared" ca="1" si="31"/>
        <v>40</v>
      </c>
      <c r="AP83" s="96">
        <f t="shared" ca="1" si="31"/>
        <v>40</v>
      </c>
      <c r="AQ83" s="96">
        <f t="shared" ca="1" si="31"/>
        <v>0</v>
      </c>
      <c r="AR83" s="96">
        <f t="shared" ca="1" si="31"/>
        <v>0</v>
      </c>
      <c r="AS83" s="96">
        <f t="shared" ca="1" si="31"/>
        <v>0</v>
      </c>
      <c r="AT83" s="96">
        <f t="shared" ca="1" si="31"/>
        <v>0</v>
      </c>
      <c r="AU83" s="96">
        <f t="shared" ca="1" si="31"/>
        <v>0</v>
      </c>
      <c r="AV83" s="96">
        <f t="shared" ca="1" si="31"/>
        <v>0</v>
      </c>
      <c r="AW83" s="96">
        <f t="shared" ca="1" si="31"/>
        <v>0</v>
      </c>
      <c r="AX83" s="96">
        <f t="shared" ca="1" si="31"/>
        <v>0</v>
      </c>
      <c r="AY83" s="342">
        <f ca="1">SUM(INDIRECT(ADDRESS(ROW(),CELL("col",staffing_column_before_weeks)+1) &amp; ":" &amp; ADDRESS(ROW(),CELL("col", staffing_column_after_weeks)-1)))</f>
        <v>4330</v>
      </c>
      <c r="AZ83" s="99"/>
    </row>
    <row r="84" spans="1:52" ht="15.75" customHeight="1">
      <c r="B84" s="343" t="s">
        <v>771</v>
      </c>
      <c r="C84" s="344"/>
      <c r="D84" s="345"/>
      <c r="E84" s="345"/>
      <c r="F84" s="345"/>
      <c r="G84" s="346"/>
      <c r="H84" s="347">
        <f t="shared" ref="H84:AY84" ca="1" si="32">SUM(H37,H83)</f>
        <v>153.5</v>
      </c>
      <c r="I84" s="100">
        <f t="shared" ca="1" si="32"/>
        <v>153.5</v>
      </c>
      <c r="J84" s="100">
        <f t="shared" ca="1" si="32"/>
        <v>156</v>
      </c>
      <c r="K84" s="100">
        <f t="shared" ca="1" si="32"/>
        <v>161</v>
      </c>
      <c r="L84" s="100">
        <f t="shared" ca="1" si="32"/>
        <v>163.5</v>
      </c>
      <c r="M84" s="100">
        <f t="shared" ca="1" si="32"/>
        <v>161</v>
      </c>
      <c r="N84" s="100">
        <f t="shared" ca="1" si="32"/>
        <v>195.5</v>
      </c>
      <c r="O84" s="100">
        <f t="shared" ca="1" si="32"/>
        <v>195.5</v>
      </c>
      <c r="P84" s="100">
        <f t="shared" ca="1" si="32"/>
        <v>195.5</v>
      </c>
      <c r="Q84" s="100">
        <f t="shared" ca="1" si="32"/>
        <v>195.5</v>
      </c>
      <c r="R84" s="100">
        <f t="shared" ca="1" si="32"/>
        <v>194.25</v>
      </c>
      <c r="S84" s="100">
        <f t="shared" ca="1" si="32"/>
        <v>199.25</v>
      </c>
      <c r="T84" s="100">
        <f t="shared" ca="1" si="32"/>
        <v>192.5</v>
      </c>
      <c r="U84" s="100">
        <f t="shared" ca="1" si="32"/>
        <v>192.5</v>
      </c>
      <c r="V84" s="100">
        <f t="shared" ca="1" si="32"/>
        <v>192.5</v>
      </c>
      <c r="W84" s="100">
        <f t="shared" ca="1" si="32"/>
        <v>192.5</v>
      </c>
      <c r="X84" s="100">
        <f t="shared" ca="1" si="32"/>
        <v>192.5</v>
      </c>
      <c r="Y84" s="100">
        <f t="shared" ca="1" si="32"/>
        <v>192.5</v>
      </c>
      <c r="Z84" s="100">
        <f t="shared" ca="1" si="32"/>
        <v>192.5</v>
      </c>
      <c r="AA84" s="100">
        <f t="shared" ca="1" si="32"/>
        <v>195</v>
      </c>
      <c r="AB84" s="100">
        <f t="shared" ca="1" si="32"/>
        <v>195</v>
      </c>
      <c r="AC84" s="100">
        <f t="shared" ca="1" si="32"/>
        <v>187.5</v>
      </c>
      <c r="AD84" s="100">
        <f t="shared" ca="1" si="32"/>
        <v>187.5</v>
      </c>
      <c r="AE84" s="100">
        <f t="shared" ca="1" si="32"/>
        <v>185</v>
      </c>
      <c r="AF84" s="100">
        <f t="shared" ca="1" si="32"/>
        <v>180</v>
      </c>
      <c r="AG84" s="100">
        <f t="shared" ca="1" si="32"/>
        <v>180</v>
      </c>
      <c r="AH84" s="100">
        <f t="shared" ca="1" si="32"/>
        <v>173.75</v>
      </c>
      <c r="AI84" s="100">
        <f t="shared" ca="1" si="32"/>
        <v>170.75</v>
      </c>
      <c r="AJ84" s="100">
        <f t="shared" ca="1" si="32"/>
        <v>165.75</v>
      </c>
      <c r="AK84" s="100">
        <f t="shared" ca="1" si="32"/>
        <v>95.25</v>
      </c>
      <c r="AL84" s="100">
        <f t="shared" ca="1" si="32"/>
        <v>94</v>
      </c>
      <c r="AM84" s="100">
        <f t="shared" ca="1" si="32"/>
        <v>49</v>
      </c>
      <c r="AN84" s="100">
        <f t="shared" ca="1" si="32"/>
        <v>49</v>
      </c>
      <c r="AO84" s="100">
        <f t="shared" ca="1" si="32"/>
        <v>49</v>
      </c>
      <c r="AP84" s="100">
        <f t="shared" ca="1" si="32"/>
        <v>49</v>
      </c>
      <c r="AQ84" s="100">
        <f t="shared" ca="1" si="32"/>
        <v>3.9999999999999996</v>
      </c>
      <c r="AR84" s="100">
        <f t="shared" ca="1" si="32"/>
        <v>3.9999999999999996</v>
      </c>
      <c r="AS84" s="100">
        <f t="shared" ca="1" si="32"/>
        <v>3.9999999999999996</v>
      </c>
      <c r="AT84" s="100">
        <f t="shared" ca="1" si="32"/>
        <v>3.9999999999999996</v>
      </c>
      <c r="AU84" s="100">
        <f t="shared" ca="1" si="32"/>
        <v>3.9999999999999996</v>
      </c>
      <c r="AV84" s="100">
        <f t="shared" ca="1" si="32"/>
        <v>3.9999999999999996</v>
      </c>
      <c r="AW84" s="100">
        <f t="shared" ca="1" si="32"/>
        <v>3.9999999999999996</v>
      </c>
      <c r="AX84" s="100">
        <f t="shared" ca="1" si="32"/>
        <v>3.9999999999999996</v>
      </c>
      <c r="AY84" s="348">
        <f t="shared" ca="1" si="32"/>
        <v>5709</v>
      </c>
      <c r="AZ84" s="101"/>
    </row>
    <row r="85" spans="1:52" ht="15.75" customHeight="1"/>
    <row r="86" spans="1:52" ht="16" thickBot="1"/>
    <row r="87" spans="1:52" ht="16" thickBot="1">
      <c r="H87" s="395" t="s">
        <v>135</v>
      </c>
      <c r="I87" s="396"/>
      <c r="J87" s="396"/>
      <c r="K87" s="396"/>
      <c r="L87" s="396"/>
      <c r="M87" s="397"/>
      <c r="N87" s="398" t="s">
        <v>149</v>
      </c>
      <c r="O87" s="399"/>
      <c r="P87" s="399"/>
      <c r="Q87" s="399"/>
      <c r="R87" s="399"/>
      <c r="S87" s="399"/>
      <c r="T87" s="399"/>
      <c r="U87" s="399"/>
      <c r="V87" s="399"/>
      <c r="W87" s="399"/>
      <c r="X87" s="399"/>
      <c r="Y87" s="399"/>
      <c r="Z87" s="399"/>
      <c r="AA87" s="399"/>
      <c r="AB87" s="400"/>
      <c r="AC87" s="401" t="s">
        <v>680</v>
      </c>
      <c r="AD87" s="402"/>
      <c r="AE87" s="402"/>
      <c r="AF87" s="402"/>
      <c r="AG87" s="402"/>
      <c r="AH87" s="403"/>
      <c r="AI87" s="404" t="s">
        <v>681</v>
      </c>
      <c r="AJ87" s="405"/>
      <c r="AK87" s="405"/>
      <c r="AL87" s="406"/>
      <c r="AM87" s="383" t="s">
        <v>586</v>
      </c>
      <c r="AN87" s="384"/>
      <c r="AO87" s="384"/>
      <c r="AP87" s="384"/>
      <c r="AQ87" s="384"/>
      <c r="AR87" s="384"/>
      <c r="AS87" s="384"/>
      <c r="AT87" s="385"/>
      <c r="AU87" s="298"/>
      <c r="AV87" s="298"/>
      <c r="AW87" s="298"/>
      <c r="AX87" s="298"/>
    </row>
    <row r="88" spans="1:52" ht="16" thickBot="1">
      <c r="H88" s="389" t="s">
        <v>684</v>
      </c>
      <c r="I88" s="390"/>
      <c r="J88" s="391"/>
      <c r="K88" s="389" t="s">
        <v>685</v>
      </c>
      <c r="L88" s="390"/>
      <c r="M88" s="391"/>
      <c r="N88" s="392" t="s">
        <v>686</v>
      </c>
      <c r="O88" s="393"/>
      <c r="P88" s="394"/>
      <c r="Q88" s="392" t="s">
        <v>687</v>
      </c>
      <c r="R88" s="393"/>
      <c r="S88" s="394"/>
      <c r="T88" s="392" t="s">
        <v>688</v>
      </c>
      <c r="U88" s="393"/>
      <c r="V88" s="394"/>
      <c r="W88" s="392" t="s">
        <v>689</v>
      </c>
      <c r="X88" s="393"/>
      <c r="Y88" s="394"/>
      <c r="Z88" s="392" t="s">
        <v>690</v>
      </c>
      <c r="AA88" s="393"/>
      <c r="AB88" s="394"/>
      <c r="AC88" s="407" t="s">
        <v>691</v>
      </c>
      <c r="AD88" s="408"/>
      <c r="AE88" s="409"/>
      <c r="AF88" s="407" t="s">
        <v>692</v>
      </c>
      <c r="AG88" s="408"/>
      <c r="AH88" s="409"/>
      <c r="AI88" s="386" t="s">
        <v>693</v>
      </c>
      <c r="AJ88" s="410"/>
      <c r="AK88" s="386" t="s">
        <v>772</v>
      </c>
      <c r="AL88" s="387"/>
    </row>
  </sheetData>
  <dataConsolidate/>
  <mergeCells count="33">
    <mergeCell ref="AK88:AL88"/>
    <mergeCell ref="AC12:AG12"/>
    <mergeCell ref="AH12:AJ12"/>
    <mergeCell ref="AC11:AG11"/>
    <mergeCell ref="AH11:AL11"/>
    <mergeCell ref="W88:Y88"/>
    <mergeCell ref="Z88:AB88"/>
    <mergeCell ref="AC88:AE88"/>
    <mergeCell ref="AF88:AH88"/>
    <mergeCell ref="AI88:AJ88"/>
    <mergeCell ref="H88:J88"/>
    <mergeCell ref="K88:M88"/>
    <mergeCell ref="N88:P88"/>
    <mergeCell ref="Q88:S88"/>
    <mergeCell ref="T88:V88"/>
    <mergeCell ref="H87:M87"/>
    <mergeCell ref="N87:AB87"/>
    <mergeCell ref="AC87:AH87"/>
    <mergeCell ref="AI87:AL87"/>
    <mergeCell ref="AM87:AT87"/>
    <mergeCell ref="AM11:AT11"/>
    <mergeCell ref="AK12:AL12"/>
    <mergeCell ref="B5:G5"/>
    <mergeCell ref="B7:G7"/>
    <mergeCell ref="H12:J12"/>
    <mergeCell ref="K12:M12"/>
    <mergeCell ref="N12:P12"/>
    <mergeCell ref="H11:M11"/>
    <mergeCell ref="N11:AB11"/>
    <mergeCell ref="Z12:AB12"/>
    <mergeCell ref="Q12:S12"/>
    <mergeCell ref="T12:V12"/>
    <mergeCell ref="W12:Y12"/>
  </mergeCells>
  <conditionalFormatting sqref="E9">
    <cfRule type="expression" dxfId="6" priority="296" stopIfTrue="1">
      <formula>WEEKDAY(D9)&lt;&gt;2</formula>
    </cfRule>
  </conditionalFormatting>
  <conditionalFormatting sqref="E10">
    <cfRule type="expression" dxfId="5" priority="295" stopIfTrue="1">
      <formula>WEEKDAY(D10)&lt;&gt;6</formula>
    </cfRule>
  </conditionalFormatting>
  <conditionalFormatting sqref="B39:B82 B16 B18:B36">
    <cfRule type="cellIs" dxfId="4" priority="170" operator="equal">
      <formula>"WE"</formula>
    </cfRule>
    <cfRule type="cellIs" dxfId="3" priority="171" operator="equal">
      <formula>"W"</formula>
    </cfRule>
    <cfRule type="cellIs" dxfId="2" priority="172" operator="equal">
      <formula>"E"</formula>
    </cfRule>
  </conditionalFormatting>
  <dataValidations count="7">
    <dataValidation type="list" allowBlank="1" showInputMessage="1" showErrorMessage="1" sqref="D16 D39:D82 D18:D36" xr:uid="{00000000-0002-0000-0700-000000000000}">
      <formula1>IF(C16="",list_offices,IF(C16="Local",list_offices_local,list_offices_india))</formula1>
    </dataValidation>
    <dataValidation type="list" allowBlank="1" showInputMessage="1" showErrorMessage="1" sqref="C16 C39:C82 C18:C36" xr:uid="{00000000-0002-0000-0700-000001000000}">
      <formula1>IF(ISNUMBER(MATCH(D16,list_offices_local,0)),list_bill_rate_local,IF(ISNUMBER(MATCH(D16,list_offices_india,0)),list_bill_rate_india,list_bill_rate_categories))</formula1>
    </dataValidation>
    <dataValidation type="date" operator="greaterThan" allowBlank="1" showInputMessage="1" showErrorMessage="1" errorTitle="End Date" error="Can't be less than Start Date." sqref="D10" xr:uid="{00000000-0002-0000-0700-000002000000}">
      <formula1>D9</formula1>
    </dataValidation>
    <dataValidation type="list" allowBlank="1" showInputMessage="1" showErrorMessage="1" sqref="G39:G82 G18:G36 G16" xr:uid="{00000000-0002-0000-0700-000003000000}">
      <formula1>list_project_tracks</formula1>
    </dataValidation>
    <dataValidation type="list" allowBlank="1" showInputMessage="1" showErrorMessage="1" sqref="F39:F82 F18:F36 F16" xr:uid="{00000000-0002-0000-0700-000004000000}">
      <formula1>list_roles</formula1>
    </dataValidation>
    <dataValidation type="list" allowBlank="1" showInputMessage="1" showErrorMessage="1" sqref="E39:E82 E30:E36 E18:E27" xr:uid="{00000000-0002-0000-0700-000005000000}">
      <formula1>IF(project_delivery_select="Delivery",list_titles+$C$14:$AZ$84,list_titles_non_delivery)</formula1>
    </dataValidation>
    <dataValidation type="list" allowBlank="1" showInputMessage="1" showErrorMessage="1" sqref="E16 E28:E29" xr:uid="{00000000-0002-0000-0700-000006000000}">
      <formula1>IF(project_delivery_select="Delivery",list_titles_delivery,list_titles_non_delivery)</formula1>
    </dataValidation>
  </dataValidations>
  <pageMargins left="0.39370078740157483" right="0.39370078740157483" top="0.59055118110236227" bottom="0.59055118110236227" header="0.19685039370078741" footer="0.19685039370078741"/>
  <pageSetup scale="4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addNewWeekToStaffingPlan">
                <anchor moveWithCells="1" sizeWithCells="1">
                  <from>
                    <xdr:col>5</xdr:col>
                    <xdr:colOff>698500</xdr:colOff>
                    <xdr:row>10</xdr:row>
                    <xdr:rowOff>31750</xdr:rowOff>
                  </from>
                  <to>
                    <xdr:col>7</xdr:col>
                    <xdr:colOff>0</xdr:colOff>
                    <xdr:row>12</xdr:row>
                    <xdr:rowOff>0</xdr:rowOff>
                  </to>
                </anchor>
              </controlPr>
            </control>
          </mc:Choice>
        </mc:AlternateContent>
        <mc:AlternateContent xmlns:mc="http://schemas.openxmlformats.org/markup-compatibility/2006">
          <mc:Choice Requires="x14">
            <control shapeId="11276" r:id="rId5" name="Button 12">
              <controlPr defaultSize="0" print="0" autoFill="0" autoPict="0" macro="[0]!exportStaffingPlanForDealTool">
                <anchor moveWithCells="1" sizeWithCells="1">
                  <from>
                    <xdr:col>5</xdr:col>
                    <xdr:colOff>698500</xdr:colOff>
                    <xdr:row>8</xdr:row>
                    <xdr:rowOff>0</xdr:rowOff>
                  </from>
                  <to>
                    <xdr:col>7</xdr:col>
                    <xdr:colOff>0</xdr:colOff>
                    <xdr:row>9</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O27"/>
  <sheetViews>
    <sheetView showGridLines="0" workbookViewId="0">
      <selection activeCell="B20" sqref="B20"/>
    </sheetView>
  </sheetViews>
  <sheetFormatPr defaultRowHeight="15.5"/>
  <cols>
    <col min="1" max="1" width="1.83203125" customWidth="1"/>
    <col min="2" max="5" width="12.5" customWidth="1"/>
    <col min="6" max="8" width="15.58203125" customWidth="1"/>
    <col min="9" max="9" width="31.25" customWidth="1"/>
    <col min="10" max="10" width="25" customWidth="1"/>
    <col min="11" max="11" width="1.83203125" customWidth="1"/>
    <col min="12" max="15" width="8.08203125" customWidth="1"/>
    <col min="16" max="16" width="1.83203125" customWidth="1"/>
  </cols>
  <sheetData>
    <row r="1" spans="1:15" ht="11.25" customHeight="1"/>
    <row r="2" spans="1:15" ht="22.5" customHeight="1">
      <c r="C2" s="1"/>
      <c r="D2" s="1" t="s">
        <v>773</v>
      </c>
    </row>
    <row r="3" spans="1:15" ht="22.5" customHeight="1">
      <c r="C3" s="12"/>
      <c r="D3" s="12" t="str">
        <f>project_headline</f>
        <v>Publicis Sapient / Online POS System | Ongoing Releases Estimation</v>
      </c>
    </row>
    <row r="4" spans="1:15" ht="11.25" customHeight="1"/>
    <row r="5" spans="1:15" ht="66" customHeight="1">
      <c r="B5" s="365" t="s">
        <v>774</v>
      </c>
      <c r="C5" s="365"/>
      <c r="D5" s="365"/>
      <c r="E5" s="365"/>
      <c r="F5" s="365"/>
      <c r="G5" s="365"/>
      <c r="I5" s="24"/>
      <c r="J5" s="24"/>
      <c r="K5" s="24"/>
      <c r="L5" s="24"/>
      <c r="M5" s="24"/>
      <c r="N5" s="24"/>
      <c r="O5" s="24"/>
    </row>
    <row r="6" spans="1:15" ht="11.25" customHeight="1">
      <c r="B6" s="53"/>
      <c r="C6" s="53"/>
      <c r="D6" s="53"/>
      <c r="E6" s="53"/>
      <c r="I6" s="24"/>
      <c r="J6" s="24"/>
      <c r="K6" s="24"/>
      <c r="L6" s="24"/>
      <c r="M6" s="24"/>
      <c r="N6" s="24"/>
      <c r="O6" s="24"/>
    </row>
    <row r="7" spans="1:15" ht="15.75" customHeight="1">
      <c r="B7" s="388" t="s">
        <v>113</v>
      </c>
      <c r="C7" s="388"/>
      <c r="D7" s="388"/>
      <c r="E7" s="388"/>
      <c r="F7" s="388"/>
      <c r="G7" s="388"/>
    </row>
    <row r="8" spans="1:15" ht="11.25" customHeight="1"/>
    <row r="9" spans="1:15" ht="15.75" customHeight="1">
      <c r="B9" s="20" t="s">
        <v>116</v>
      </c>
      <c r="C9" s="21" t="s">
        <v>775</v>
      </c>
      <c r="D9" s="28" t="s">
        <v>776</v>
      </c>
      <c r="E9" s="28" t="s">
        <v>777</v>
      </c>
      <c r="F9" s="29" t="s">
        <v>778</v>
      </c>
      <c r="G9" s="29" t="s">
        <v>779</v>
      </c>
      <c r="H9" s="29" t="s">
        <v>780</v>
      </c>
      <c r="I9" s="22" t="s">
        <v>124</v>
      </c>
    </row>
    <row r="10" spans="1:15">
      <c r="A10" s="23"/>
      <c r="B10" s="30" t="s">
        <v>23</v>
      </c>
      <c r="C10" s="178">
        <f t="shared" ref="C10:C20" si="0">IF(ISBLANK(B10),"",SUMIF(stories_track_list_lookup,B10,stories_buffered_loe_lookup))</f>
        <v>0</v>
      </c>
      <c r="D10" s="178">
        <f t="shared" ref="D10:D20" si="1">IF(ISBLANK(B10),"",SUMIF(addins_track_list_lookup,B10,addins_impact_loe_lookup))</f>
        <v>0</v>
      </c>
      <c r="E10" s="178">
        <f t="shared" ref="E10:E20" si="2">IF(ISBLANK(B10),"",SUMIF(risks_track_list_lookup,B10,risks_risk_buffer_lookup))</f>
        <v>0</v>
      </c>
      <c r="F10" s="179">
        <f t="shared" ref="F10:F19" si="3">IF(ISBLANK(B10),"",SUM(C10:E10))</f>
        <v>0</v>
      </c>
      <c r="G10" s="178">
        <f t="shared" ref="G10:G20" ca="1" si="4">IF(ISBLANK(B10),"",SUMIF(staffing_track_list_lookup,B10,staffing_total_loe_lookup))</f>
        <v>0</v>
      </c>
      <c r="H10" s="180">
        <f ca="1">IF(ISBLANK(B10),"",G10-F10)</f>
        <v>0</v>
      </c>
      <c r="I10" s="33"/>
    </row>
    <row r="11" spans="1:15">
      <c r="A11" s="23"/>
      <c r="B11" s="34" t="s">
        <v>24</v>
      </c>
      <c r="C11" s="181">
        <f t="shared" si="0"/>
        <v>1188.3</v>
      </c>
      <c r="D11" s="181">
        <f t="shared" si="1"/>
        <v>0</v>
      </c>
      <c r="E11" s="181">
        <f t="shared" si="2"/>
        <v>25</v>
      </c>
      <c r="F11" s="182">
        <f t="shared" si="3"/>
        <v>1213.3</v>
      </c>
      <c r="G11" s="181">
        <f t="shared" ca="1" si="4"/>
        <v>2310</v>
      </c>
      <c r="H11" s="183">
        <f t="shared" ref="H11:H20" ca="1" si="5">IF(ISBLANK(B11),"",G11-F11)</f>
        <v>1096.7</v>
      </c>
      <c r="I11" s="44"/>
    </row>
    <row r="12" spans="1:15">
      <c r="A12" s="23"/>
      <c r="B12" s="34" t="s">
        <v>25</v>
      </c>
      <c r="C12" s="181">
        <f t="shared" si="0"/>
        <v>349.1</v>
      </c>
      <c r="D12" s="181">
        <f t="shared" si="1"/>
        <v>80</v>
      </c>
      <c r="E12" s="181">
        <f t="shared" si="2"/>
        <v>30</v>
      </c>
      <c r="F12" s="182">
        <f t="shared" si="3"/>
        <v>459.1</v>
      </c>
      <c r="G12" s="181">
        <f t="shared" ca="1" si="4"/>
        <v>517.5</v>
      </c>
      <c r="H12" s="183">
        <f t="shared" ca="1" si="5"/>
        <v>58.399999999999977</v>
      </c>
      <c r="I12" s="44"/>
    </row>
    <row r="13" spans="1:15">
      <c r="A13" s="23"/>
      <c r="B13" s="34" t="s">
        <v>26</v>
      </c>
      <c r="C13" s="181">
        <f t="shared" si="0"/>
        <v>462.1</v>
      </c>
      <c r="D13" s="181">
        <f t="shared" si="1"/>
        <v>100</v>
      </c>
      <c r="E13" s="181">
        <f t="shared" si="2"/>
        <v>187.5</v>
      </c>
      <c r="F13" s="182">
        <f t="shared" si="3"/>
        <v>749.6</v>
      </c>
      <c r="G13" s="181">
        <f t="shared" ca="1" si="4"/>
        <v>690</v>
      </c>
      <c r="H13" s="183">
        <f t="shared" ca="1" si="5"/>
        <v>-59.600000000000023</v>
      </c>
      <c r="I13" s="44"/>
    </row>
    <row r="14" spans="1:15">
      <c r="A14" s="23"/>
      <c r="B14" s="34" t="s">
        <v>27</v>
      </c>
      <c r="C14" s="181">
        <f t="shared" si="0"/>
        <v>17.5</v>
      </c>
      <c r="D14" s="181">
        <f t="shared" si="1"/>
        <v>40</v>
      </c>
      <c r="E14" s="181">
        <f t="shared" si="2"/>
        <v>22.5</v>
      </c>
      <c r="F14" s="182">
        <f t="shared" si="3"/>
        <v>80</v>
      </c>
      <c r="G14" s="181">
        <f t="shared" ca="1" si="4"/>
        <v>115</v>
      </c>
      <c r="H14" s="183">
        <f t="shared" ca="1" si="5"/>
        <v>35</v>
      </c>
      <c r="I14" s="44"/>
    </row>
    <row r="15" spans="1:15">
      <c r="A15" s="23"/>
      <c r="B15" s="34" t="s">
        <v>28</v>
      </c>
      <c r="C15" s="181">
        <f t="shared" si="0"/>
        <v>147.5</v>
      </c>
      <c r="D15" s="181">
        <f t="shared" si="1"/>
        <v>40</v>
      </c>
      <c r="E15" s="181">
        <f t="shared" si="2"/>
        <v>0</v>
      </c>
      <c r="F15" s="182">
        <f t="shared" si="3"/>
        <v>187.5</v>
      </c>
      <c r="G15" s="181">
        <f t="shared" ca="1" si="4"/>
        <v>30</v>
      </c>
      <c r="H15" s="183">
        <f t="shared" ca="1" si="5"/>
        <v>-157.5</v>
      </c>
      <c r="I15" s="44"/>
    </row>
    <row r="16" spans="1:15">
      <c r="A16" s="23"/>
      <c r="B16" s="34" t="s">
        <v>29</v>
      </c>
      <c r="C16" s="181">
        <f t="shared" si="0"/>
        <v>53</v>
      </c>
      <c r="D16" s="181">
        <f t="shared" si="1"/>
        <v>40</v>
      </c>
      <c r="E16" s="181">
        <f t="shared" si="2"/>
        <v>0</v>
      </c>
      <c r="F16" s="182">
        <f t="shared" si="3"/>
        <v>93</v>
      </c>
      <c r="G16" s="181">
        <f t="shared" ca="1" si="4"/>
        <v>75</v>
      </c>
      <c r="H16" s="183">
        <f t="shared" ca="1" si="5"/>
        <v>-18</v>
      </c>
      <c r="I16" s="44"/>
    </row>
    <row r="17" spans="1:9">
      <c r="A17" s="23"/>
      <c r="B17" s="34" t="s">
        <v>30</v>
      </c>
      <c r="C17" s="181">
        <f t="shared" si="0"/>
        <v>176.5</v>
      </c>
      <c r="D17" s="181">
        <f t="shared" si="1"/>
        <v>50</v>
      </c>
      <c r="E17" s="181">
        <f t="shared" si="2"/>
        <v>75</v>
      </c>
      <c r="F17" s="182">
        <f t="shared" si="3"/>
        <v>301.5</v>
      </c>
      <c r="G17" s="181">
        <f t="shared" ca="1" si="4"/>
        <v>427.5</v>
      </c>
      <c r="H17" s="183">
        <f t="shared" ca="1" si="5"/>
        <v>126</v>
      </c>
      <c r="I17" s="44"/>
    </row>
    <row r="18" spans="1:9">
      <c r="A18" s="23"/>
      <c r="B18" s="34" t="s">
        <v>31</v>
      </c>
      <c r="C18" s="181">
        <f t="shared" si="0"/>
        <v>0</v>
      </c>
      <c r="D18" s="181">
        <f t="shared" si="1"/>
        <v>0</v>
      </c>
      <c r="E18" s="181">
        <f t="shared" si="2"/>
        <v>0</v>
      </c>
      <c r="F18" s="182">
        <f t="shared" si="3"/>
        <v>0</v>
      </c>
      <c r="G18" s="181">
        <f t="shared" ca="1" si="4"/>
        <v>0</v>
      </c>
      <c r="H18" s="183">
        <f t="shared" ca="1" si="5"/>
        <v>0</v>
      </c>
      <c r="I18" s="44"/>
    </row>
    <row r="19" spans="1:9">
      <c r="B19" s="37" t="s">
        <v>32</v>
      </c>
      <c r="C19" s="184">
        <f t="shared" si="0"/>
        <v>15</v>
      </c>
      <c r="D19" s="184">
        <f t="shared" si="1"/>
        <v>0</v>
      </c>
      <c r="E19" s="184">
        <f t="shared" si="2"/>
        <v>0</v>
      </c>
      <c r="F19" s="185">
        <f t="shared" si="3"/>
        <v>15</v>
      </c>
      <c r="G19" s="184">
        <f t="shared" ca="1" si="4"/>
        <v>15</v>
      </c>
      <c r="H19" s="186">
        <f t="shared" ca="1" si="5"/>
        <v>0</v>
      </c>
      <c r="I19" s="45"/>
    </row>
    <row r="20" spans="1:9">
      <c r="A20" s="129" t="s">
        <v>653</v>
      </c>
      <c r="B20" s="34" t="s">
        <v>33</v>
      </c>
      <c r="C20" s="181">
        <f t="shared" si="0"/>
        <v>16</v>
      </c>
      <c r="D20" s="181">
        <f t="shared" si="1"/>
        <v>0</v>
      </c>
      <c r="E20" s="181">
        <f t="shared" si="2"/>
        <v>0</v>
      </c>
      <c r="F20" s="182">
        <f>IF(ISBLANK(B20),"",SUM(C20:E20))</f>
        <v>16</v>
      </c>
      <c r="G20" s="181">
        <f t="shared" ca="1" si="4"/>
        <v>0</v>
      </c>
      <c r="H20" s="183">
        <f t="shared" ca="1" si="5"/>
        <v>-16</v>
      </c>
      <c r="I20" s="44"/>
    </row>
    <row r="21" spans="1:9" ht="0.75" customHeight="1">
      <c r="B21" s="40" t="s">
        <v>34</v>
      </c>
      <c r="C21" s="187"/>
      <c r="D21" s="187"/>
      <c r="E21" s="187"/>
      <c r="F21" s="188"/>
      <c r="G21" s="187"/>
      <c r="H21" s="189"/>
      <c r="I21" s="43"/>
    </row>
    <row r="22" spans="1:9">
      <c r="B22" t="s">
        <v>35</v>
      </c>
    </row>
    <row r="23" spans="1:9">
      <c r="B23" t="s">
        <v>36</v>
      </c>
    </row>
    <row r="24" spans="1:9">
      <c r="B24" t="s">
        <v>37</v>
      </c>
    </row>
    <row r="25" spans="1:9">
      <c r="B25" t="s">
        <v>38</v>
      </c>
    </row>
    <row r="26" spans="1:9">
      <c r="B26" t="s">
        <v>39</v>
      </c>
    </row>
    <row r="27" spans="1:9">
      <c r="B27" t="s">
        <v>40</v>
      </c>
    </row>
  </sheetData>
  <dataConsolidate/>
  <mergeCells count="2">
    <mergeCell ref="B5:G5"/>
    <mergeCell ref="B7:G7"/>
  </mergeCells>
  <pageMargins left="0.39370078740157483" right="0.39370078740157483" top="0.59055118110236227" bottom="0.59055118110236227" header="0.19685039370078741" footer="0.19685039370078741"/>
  <pageSetup scale="7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B1:S28"/>
  <sheetViews>
    <sheetView showGridLines="0" topLeftCell="A5" zoomScale="85" zoomScaleNormal="85" workbookViewId="0">
      <selection activeCell="V32" sqref="V32:V35"/>
    </sheetView>
  </sheetViews>
  <sheetFormatPr defaultRowHeight="15.5"/>
  <cols>
    <col min="1" max="1" width="1.83203125" customWidth="1"/>
    <col min="2" max="2" width="17.58203125" customWidth="1"/>
    <col min="3" max="3" width="8.25" customWidth="1"/>
    <col min="4" max="5" width="7.5" customWidth="1"/>
    <col min="6" max="9" width="2.58203125" customWidth="1"/>
    <col min="10" max="11" width="10.5" customWidth="1"/>
    <col min="12" max="12" width="2.58203125" customWidth="1"/>
    <col min="13" max="13" width="5.25" customWidth="1"/>
    <col min="14" max="15" width="2.58203125" customWidth="1"/>
    <col min="16" max="16" width="6.25" customWidth="1"/>
    <col min="17" max="17" width="2.58203125" customWidth="1"/>
    <col min="18" max="18" width="6.25" customWidth="1"/>
    <col min="19" max="19" width="2.58203125" customWidth="1"/>
  </cols>
  <sheetData>
    <row r="1" spans="2:19" ht="11.25" customHeight="1"/>
    <row r="2" spans="2:19" ht="22.5" customHeight="1">
      <c r="C2" s="1"/>
      <c r="D2" s="1" t="s">
        <v>781</v>
      </c>
    </row>
    <row r="3" spans="2:19" ht="22.5" customHeight="1">
      <c r="C3" s="12"/>
      <c r="D3" s="12" t="str">
        <f>project_headline</f>
        <v>Publicis Sapient / Online POS System | Ongoing Releases Estimation</v>
      </c>
    </row>
    <row r="4" spans="2:19" ht="11.25" customHeight="1"/>
    <row r="5" spans="2:19" ht="82.5" customHeight="1">
      <c r="B5" s="411" t="s">
        <v>782</v>
      </c>
      <c r="C5" s="411"/>
      <c r="D5" s="411"/>
      <c r="E5" s="411"/>
      <c r="F5" s="411"/>
      <c r="G5" s="411"/>
      <c r="H5" s="411"/>
      <c r="I5" s="411"/>
      <c r="J5" s="411"/>
      <c r="K5" s="411"/>
    </row>
    <row r="6" spans="2:19" ht="11.25" customHeight="1"/>
    <row r="7" spans="2:19">
      <c r="B7" s="58" t="s">
        <v>783</v>
      </c>
      <c r="C7" s="412" t="s">
        <v>784</v>
      </c>
      <c r="D7" s="412"/>
      <c r="E7" s="413"/>
      <c r="H7" s="108"/>
      <c r="I7" s="108"/>
      <c r="J7" s="108"/>
      <c r="K7" s="108"/>
      <c r="L7" s="108"/>
      <c r="M7" s="108"/>
      <c r="N7" s="108"/>
      <c r="O7" s="108"/>
      <c r="P7" s="108"/>
      <c r="Q7" s="108"/>
      <c r="R7" s="108"/>
      <c r="S7" s="108"/>
    </row>
    <row r="8" spans="2:19">
      <c r="B8" s="110"/>
      <c r="C8" s="105" t="s">
        <v>44</v>
      </c>
      <c r="D8" s="105" t="s">
        <v>45</v>
      </c>
      <c r="E8" s="106" t="s">
        <v>112</v>
      </c>
      <c r="F8" s="104"/>
      <c r="G8" s="104"/>
      <c r="H8" s="108"/>
      <c r="I8" s="417" t="str">
        <f ca="1">CONCATENATE("Total LOE: ", ROUND(total_loe,0), " days (100%)")</f>
        <v>Total LOE: 5178 days (100%)</v>
      </c>
      <c r="J8" s="417"/>
      <c r="K8" s="417"/>
      <c r="L8" s="417"/>
      <c r="M8" s="417"/>
      <c r="N8" s="417"/>
      <c r="O8" s="417"/>
      <c r="P8" s="417"/>
      <c r="Q8" s="417"/>
      <c r="R8" s="417"/>
      <c r="S8" s="108"/>
    </row>
    <row r="9" spans="2:19">
      <c r="B9" s="112" t="s">
        <v>775</v>
      </c>
      <c r="C9" s="163">
        <f>stories_total_loe_abp</f>
        <v>2296.8130000000001</v>
      </c>
      <c r="D9" s="349">
        <f>stories_total_loe_hp</f>
        <v>3059.163</v>
      </c>
      <c r="E9" s="350">
        <f>stories_total_loe_buffered</f>
        <v>2678</v>
      </c>
      <c r="F9" s="104"/>
      <c r="G9" s="104"/>
      <c r="H9" s="108"/>
      <c r="I9" s="108"/>
      <c r="J9" s="108"/>
      <c r="K9" s="108"/>
      <c r="L9" s="108"/>
      <c r="M9" s="108"/>
      <c r="N9" s="108"/>
      <c r="O9" s="108"/>
      <c r="P9" s="108"/>
      <c r="Q9" s="108"/>
      <c r="R9" s="108"/>
      <c r="S9" s="108"/>
    </row>
    <row r="10" spans="2:19">
      <c r="B10" s="104"/>
      <c r="C10" s="104"/>
      <c r="D10" s="104"/>
      <c r="E10" s="104"/>
      <c r="F10" s="104"/>
      <c r="G10" s="104"/>
      <c r="H10" s="108"/>
      <c r="I10" s="107"/>
      <c r="J10" s="107"/>
      <c r="K10" s="107"/>
      <c r="L10" s="107"/>
      <c r="M10" s="107"/>
      <c r="N10" s="107"/>
      <c r="O10" s="108"/>
      <c r="P10" s="108"/>
      <c r="Q10" s="108"/>
      <c r="R10" s="108"/>
      <c r="S10" s="108"/>
    </row>
    <row r="11" spans="2:19">
      <c r="B11" s="351" t="s">
        <v>643</v>
      </c>
      <c r="C11" s="352">
        <f>addins_total_loe</f>
        <v>650</v>
      </c>
      <c r="D11" s="164">
        <f>addins_total_loe</f>
        <v>650</v>
      </c>
      <c r="E11" s="165">
        <f>addins_total_loe</f>
        <v>650</v>
      </c>
      <c r="F11" s="104"/>
      <c r="G11" s="104"/>
      <c r="H11" s="108"/>
      <c r="I11" s="107"/>
      <c r="J11" s="418" t="str">
        <f ca="1">CONCATENATE("Story LOE: ", stories_total_loe_buffered, " days (",  IF(total_loe=0,0,ROUND(100*stories_total_loe_buffered/total_loe,0)),"%)")</f>
        <v>Story LOE: 2678 days (52%)</v>
      </c>
      <c r="K11" s="418"/>
      <c r="L11" s="415" t="s">
        <v>785</v>
      </c>
      <c r="M11" s="414" t="str">
        <f ca="1">CONCATENATE("Add-ins LOE: ", addins_total_loe, " days (",  IF(total_loe=0,0,ROUND(100*addins_total_loe/total_loe,0)),"%)")</f>
        <v>Add-ins LOE: 650 days (13%)</v>
      </c>
      <c r="N11" s="107"/>
      <c r="O11" s="416" t="s">
        <v>785</v>
      </c>
      <c r="P11" s="414" t="str">
        <f ca="1">CONCATENATE("Obj. Risk LOE: ", risks_total_loe, " days (",  IF(total_loe=0,0,ROUND(100*risks_total_loe/total_loe,0)),"%)")</f>
        <v>Obj. Risk LOE: 471.25 days (9%)</v>
      </c>
      <c r="Q11" s="416" t="s">
        <v>785</v>
      </c>
      <c r="R11" s="414" t="str">
        <f ca="1">CONCATENATE("Oversight LOE: ", staffing_total_loe_oversight, " days (",  IF(total_loe=0,0,ROUND(100*staffing_total_loe_oversight/total_loe,0)),"%)")</f>
        <v>Oversight LOE: 1379 days (27%)</v>
      </c>
      <c r="S11" s="108"/>
    </row>
    <row r="12" spans="2:19">
      <c r="B12" s="104"/>
      <c r="C12" s="104"/>
      <c r="D12" s="104"/>
      <c r="E12" s="104"/>
      <c r="F12" s="104"/>
      <c r="G12" s="104"/>
      <c r="H12" s="108"/>
      <c r="I12" s="107"/>
      <c r="J12" s="418"/>
      <c r="K12" s="418"/>
      <c r="L12" s="415"/>
      <c r="M12" s="414"/>
      <c r="N12" s="107"/>
      <c r="O12" s="416"/>
      <c r="P12" s="414"/>
      <c r="Q12" s="416"/>
      <c r="R12" s="414"/>
      <c r="S12" s="108"/>
    </row>
    <row r="13" spans="2:19">
      <c r="B13" s="351" t="s">
        <v>786</v>
      </c>
      <c r="C13" s="353">
        <f>risks_total_loe</f>
        <v>471.25</v>
      </c>
      <c r="D13" s="166">
        <f>risks_total_loe</f>
        <v>471.25</v>
      </c>
      <c r="E13" s="167">
        <f>risks_total_loe</f>
        <v>471.25</v>
      </c>
      <c r="F13" s="104"/>
      <c r="G13" s="104"/>
      <c r="H13" s="108"/>
      <c r="I13" s="107"/>
      <c r="J13" s="418"/>
      <c r="K13" s="418"/>
      <c r="L13" s="415"/>
      <c r="M13" s="414"/>
      <c r="N13" s="107"/>
      <c r="O13" s="416"/>
      <c r="P13" s="414"/>
      <c r="Q13" s="416"/>
      <c r="R13" s="414"/>
      <c r="S13" s="108"/>
    </row>
    <row r="14" spans="2:19">
      <c r="B14" s="104"/>
      <c r="C14" s="104"/>
      <c r="D14" s="104"/>
      <c r="E14" s="104"/>
      <c r="F14" s="104"/>
      <c r="G14" s="104"/>
      <c r="H14" s="108"/>
      <c r="I14" s="107"/>
      <c r="J14" s="418"/>
      <c r="K14" s="418"/>
      <c r="L14" s="415"/>
      <c r="M14" s="414"/>
      <c r="N14" s="107"/>
      <c r="O14" s="416"/>
      <c r="P14" s="414"/>
      <c r="Q14" s="416"/>
      <c r="R14" s="414"/>
      <c r="S14" s="108"/>
    </row>
    <row r="15" spans="2:19">
      <c r="B15" s="351" t="s">
        <v>787</v>
      </c>
      <c r="C15" s="352">
        <f ca="1">staffing_total_loe_oversight</f>
        <v>1379</v>
      </c>
      <c r="D15" s="164">
        <f ca="1">staffing_total_loe_oversight</f>
        <v>1379</v>
      </c>
      <c r="E15" s="165">
        <f ca="1">staffing_total_loe_oversight</f>
        <v>1379</v>
      </c>
      <c r="F15" s="104"/>
      <c r="G15" s="104"/>
      <c r="H15" s="108"/>
      <c r="I15" s="107"/>
      <c r="J15" s="418"/>
      <c r="K15" s="418"/>
      <c r="L15" s="415"/>
      <c r="M15" s="414"/>
      <c r="N15" s="107"/>
      <c r="O15" s="416"/>
      <c r="P15" s="414"/>
      <c r="Q15" s="416"/>
      <c r="R15" s="414"/>
      <c r="S15" s="108"/>
    </row>
    <row r="16" spans="2:19">
      <c r="B16" s="104"/>
      <c r="C16" s="104"/>
      <c r="D16" s="104"/>
      <c r="E16" s="104"/>
      <c r="F16" s="104"/>
      <c r="G16" s="104"/>
      <c r="H16" s="108"/>
      <c r="I16" s="107"/>
      <c r="J16" s="418"/>
      <c r="K16" s="418"/>
      <c r="L16" s="415"/>
      <c r="M16" s="414"/>
      <c r="N16" s="107"/>
      <c r="O16" s="416"/>
      <c r="P16" s="414"/>
      <c r="Q16" s="416"/>
      <c r="R16" s="414"/>
      <c r="S16" s="108"/>
    </row>
    <row r="17" spans="2:19">
      <c r="B17" s="111" t="s">
        <v>111</v>
      </c>
      <c r="C17" s="168">
        <f ca="1">C9+C11+C13+C15</f>
        <v>4797.0630000000001</v>
      </c>
      <c r="D17" s="169">
        <f ca="1">D9+D11+D13+D15</f>
        <v>5559.4130000000005</v>
      </c>
      <c r="E17" s="170">
        <f ca="1">E9+E11+E13+E15</f>
        <v>5178.25</v>
      </c>
      <c r="F17" s="104"/>
      <c r="G17" s="104"/>
      <c r="H17" s="108"/>
      <c r="I17" s="107"/>
      <c r="J17" s="418"/>
      <c r="K17" s="418"/>
      <c r="L17" s="415"/>
      <c r="M17" s="414"/>
      <c r="N17" s="107"/>
      <c r="O17" s="416"/>
      <c r="P17" s="414"/>
      <c r="Q17" s="416"/>
      <c r="R17" s="414"/>
      <c r="S17" s="108"/>
    </row>
    <row r="18" spans="2:19">
      <c r="B18" s="110" t="s">
        <v>788</v>
      </c>
      <c r="C18" s="171">
        <f ca="1">C17/5</f>
        <v>959.4126</v>
      </c>
      <c r="D18" s="172">
        <f ca="1">D17/5</f>
        <v>1111.8826000000001</v>
      </c>
      <c r="E18" s="173">
        <f ca="1">E17/5</f>
        <v>1035.6500000000001</v>
      </c>
      <c r="F18" s="104"/>
      <c r="G18" s="104"/>
      <c r="H18" s="108"/>
      <c r="I18" s="107"/>
      <c r="J18" s="418"/>
      <c r="K18" s="418"/>
      <c r="L18" s="415"/>
      <c r="M18" s="414"/>
      <c r="N18" s="107"/>
      <c r="O18" s="416"/>
      <c r="P18" s="414"/>
      <c r="Q18" s="416"/>
      <c r="R18" s="414"/>
      <c r="S18" s="108"/>
    </row>
    <row r="19" spans="2:19">
      <c r="B19" s="112" t="s">
        <v>789</v>
      </c>
      <c r="C19" s="123">
        <f ca="1">IF(ISERROR(C17/$E$17),0,C17/$E$17)</f>
        <v>0.92638690677352387</v>
      </c>
      <c r="D19" s="124">
        <f ca="1">IF(ISERROR(D17/$E$17),0,D17/$E$17)</f>
        <v>1.0736084584560421</v>
      </c>
      <c r="E19" s="125">
        <f ca="1">IF(ISERROR(E17/$E$17),0,E17/$E$17)</f>
        <v>1</v>
      </c>
      <c r="F19" s="104"/>
      <c r="G19" s="104"/>
      <c r="H19" s="108"/>
      <c r="I19" s="107"/>
      <c r="J19" s="107"/>
      <c r="K19" s="107"/>
      <c r="L19" s="107"/>
      <c r="M19" s="107"/>
      <c r="N19" s="107"/>
      <c r="O19" s="108"/>
      <c r="P19" s="108"/>
      <c r="Q19" s="108"/>
      <c r="R19" s="108"/>
      <c r="S19" s="108"/>
    </row>
    <row r="20" spans="2:19">
      <c r="B20" s="104"/>
      <c r="C20" s="104"/>
      <c r="D20" s="104"/>
      <c r="E20" s="104"/>
      <c r="F20" s="104"/>
      <c r="G20" s="104"/>
      <c r="H20" s="108"/>
      <c r="I20" s="108"/>
      <c r="J20" s="108"/>
      <c r="K20" s="108"/>
      <c r="L20" s="108"/>
      <c r="M20" s="108"/>
      <c r="N20" s="108"/>
      <c r="O20" s="108"/>
      <c r="P20" s="108"/>
      <c r="Q20" s="108"/>
      <c r="R20" s="108"/>
      <c r="S20" s="108"/>
    </row>
    <row r="21" spans="2:19">
      <c r="B21" s="104"/>
      <c r="C21" s="104"/>
      <c r="D21" s="104"/>
      <c r="E21" s="104"/>
      <c r="F21" s="104"/>
      <c r="G21" s="104"/>
      <c r="H21" s="104"/>
      <c r="I21" s="104"/>
    </row>
    <row r="22" spans="2:19">
      <c r="B22" s="58" t="s">
        <v>790</v>
      </c>
      <c r="C22" s="113" t="s">
        <v>683</v>
      </c>
      <c r="D22" s="104"/>
      <c r="E22" s="114">
        <v>0.2</v>
      </c>
      <c r="F22" s="115"/>
      <c r="G22" s="109" t="str">
        <f ca="1">IF(E22&lt;=C$28,"&lt;","")</f>
        <v/>
      </c>
    </row>
    <row r="23" spans="2:19">
      <c r="B23" s="110" t="s">
        <v>791</v>
      </c>
      <c r="C23" s="174">
        <f ca="1">ROUND(total_loe,0)</f>
        <v>5178</v>
      </c>
      <c r="D23" s="104"/>
      <c r="E23" s="116">
        <v>0.1</v>
      </c>
      <c r="F23" s="117"/>
      <c r="G23" s="109" t="str">
        <f ca="1">IF(AND(E23&lt;=C$28,E22&gt;C$28),"&lt;","")</f>
        <v>&lt;</v>
      </c>
    </row>
    <row r="24" spans="2:19">
      <c r="B24" s="112" t="s">
        <v>792</v>
      </c>
      <c r="C24" s="175">
        <f ca="1">staffing_total_person_days</f>
        <v>5709</v>
      </c>
      <c r="D24" s="104"/>
      <c r="E24" s="116">
        <v>0.05</v>
      </c>
      <c r="F24" s="118"/>
      <c r="G24" s="109" t="str">
        <f ca="1">IF(AND(E24&lt;=C$28,E23&gt;C$28),"&lt;","")</f>
        <v/>
      </c>
    </row>
    <row r="25" spans="2:19">
      <c r="B25" s="104"/>
      <c r="C25" s="104"/>
      <c r="D25" s="104"/>
      <c r="E25" s="116">
        <v>0</v>
      </c>
      <c r="F25" s="119"/>
      <c r="G25" s="109" t="str">
        <f ca="1">IF(AND(E26&lt;C$28,E24&gt;C$28),"&lt;","")</f>
        <v/>
      </c>
    </row>
    <row r="26" spans="2:19">
      <c r="B26" s="104"/>
      <c r="C26" s="104"/>
      <c r="D26" s="104"/>
      <c r="E26" s="116">
        <v>-0.05</v>
      </c>
      <c r="F26" s="118"/>
      <c r="G26" s="109" t="str">
        <f ca="1">IF(AND(E26&gt;=C$28,E27&lt;C$28),"&lt;","")</f>
        <v/>
      </c>
    </row>
    <row r="27" spans="2:19">
      <c r="B27" s="111" t="s">
        <v>793</v>
      </c>
      <c r="C27" s="176">
        <f ca="1">C24-C23</f>
        <v>531</v>
      </c>
      <c r="D27" s="104"/>
      <c r="E27" s="116">
        <v>-0.1</v>
      </c>
      <c r="F27" s="117"/>
      <c r="G27" s="109" t="str">
        <f ca="1">IF(AND(E27&gt;=C$28,E28&lt;C$28),"&lt;","")</f>
        <v/>
      </c>
    </row>
    <row r="28" spans="2:19">
      <c r="B28" s="112" t="s">
        <v>794</v>
      </c>
      <c r="C28" s="122">
        <f ca="1">ROUND(IF(C24=0,-10,C27/C23),2)</f>
        <v>0.1</v>
      </c>
      <c r="D28" s="104"/>
      <c r="E28" s="120">
        <v>-0.2</v>
      </c>
      <c r="F28" s="121"/>
      <c r="G28" s="109" t="str">
        <f ca="1">IF(E28&gt;=C$28,"&lt;","")</f>
        <v/>
      </c>
    </row>
  </sheetData>
  <dataConsolidate/>
  <mergeCells count="10">
    <mergeCell ref="B5:K5"/>
    <mergeCell ref="C7:E7"/>
    <mergeCell ref="M11:M18"/>
    <mergeCell ref="P11:P18"/>
    <mergeCell ref="R11:R18"/>
    <mergeCell ref="L11:L18"/>
    <mergeCell ref="O11:O18"/>
    <mergeCell ref="Q11:Q18"/>
    <mergeCell ref="I8:R8"/>
    <mergeCell ref="J11:K18"/>
  </mergeCells>
  <conditionalFormatting sqref="G22:G28">
    <cfRule type="cellIs" dxfId="1" priority="1" stopIfTrue="1" operator="notEqual">
      <formula>"&lt;"</formula>
    </cfRule>
    <cfRule type="cellIs" dxfId="0" priority="2" stopIfTrue="1" operator="equal">
      <formula>"&lt;"</formula>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I2"/>
  <sheetViews>
    <sheetView workbookViewId="0"/>
  </sheetViews>
  <sheetFormatPr defaultRowHeight="15.5"/>
  <cols>
    <col min="1" max="1" width="9.75" bestFit="1" customWidth="1"/>
    <col min="2" max="2" width="5.25" bestFit="1" customWidth="1"/>
    <col min="3" max="3" width="8.08203125" bestFit="1" customWidth="1"/>
    <col min="4" max="4" width="4.08203125" bestFit="1" customWidth="1"/>
    <col min="5" max="5" width="3.08203125" bestFit="1" customWidth="1"/>
    <col min="6" max="6" width="14.5" bestFit="1" customWidth="1"/>
    <col min="7" max="7" width="5.58203125" bestFit="1" customWidth="1"/>
    <col min="8" max="8" width="10.08203125" bestFit="1" customWidth="1"/>
    <col min="9" max="9" width="2.83203125" bestFit="1" customWidth="1"/>
    <col min="10" max="11" width="9.5" bestFit="1" customWidth="1"/>
    <col min="12" max="12" width="13.08203125" bestFit="1" customWidth="1"/>
  </cols>
  <sheetData>
    <row r="1" spans="1:9">
      <c r="A1" t="s">
        <v>795</v>
      </c>
      <c r="B1" t="s">
        <v>116</v>
      </c>
      <c r="C1" t="s">
        <v>115</v>
      </c>
      <c r="D1" t="s">
        <v>44</v>
      </c>
      <c r="E1" t="s">
        <v>45</v>
      </c>
      <c r="F1" t="s">
        <v>120</v>
      </c>
      <c r="G1" t="s">
        <v>124</v>
      </c>
      <c r="H1" t="s">
        <v>119</v>
      </c>
      <c r="I1" t="s">
        <v>796</v>
      </c>
    </row>
    <row r="2" spans="1:9">
      <c r="A2" t="s">
        <v>797</v>
      </c>
      <c r="C2" t="s">
        <v>798</v>
      </c>
      <c r="D2">
        <v>2</v>
      </c>
      <c r="E2">
        <v>3</v>
      </c>
      <c r="F2">
        <v>3</v>
      </c>
      <c r="H2" t="s">
        <v>799</v>
      </c>
      <c r="I2">
        <v>13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G78"/>
  <sheetViews>
    <sheetView workbookViewId="0"/>
  </sheetViews>
  <sheetFormatPr defaultRowHeight="15.5"/>
  <cols>
    <col min="1" max="1" width="13.25" bestFit="1" customWidth="1"/>
    <col min="2" max="2" width="11.08203125" bestFit="1" customWidth="1"/>
    <col min="3" max="3" width="32.75" bestFit="1" customWidth="1"/>
    <col min="4" max="4" width="20.58203125" bestFit="1" customWidth="1"/>
    <col min="5" max="6" width="10.33203125" bestFit="1" customWidth="1"/>
    <col min="7" max="8" width="5.25" bestFit="1" customWidth="1"/>
  </cols>
  <sheetData>
    <row r="1" spans="1:7">
      <c r="A1" t="s">
        <v>701</v>
      </c>
      <c r="B1" t="s">
        <v>702</v>
      </c>
      <c r="C1" t="s">
        <v>703</v>
      </c>
      <c r="D1" t="s">
        <v>704</v>
      </c>
      <c r="E1" s="292">
        <v>41092</v>
      </c>
      <c r="F1" s="292">
        <v>41173</v>
      </c>
      <c r="G1" s="293">
        <v>1</v>
      </c>
    </row>
    <row r="2" spans="1:7">
      <c r="A2" t="s">
        <v>701</v>
      </c>
      <c r="B2" t="s">
        <v>702</v>
      </c>
      <c r="C2" t="s">
        <v>703</v>
      </c>
      <c r="D2" t="s">
        <v>704</v>
      </c>
      <c r="E2" s="292">
        <v>41176</v>
      </c>
      <c r="F2" s="292">
        <v>41271</v>
      </c>
      <c r="G2" s="293">
        <v>0.5</v>
      </c>
    </row>
    <row r="3" spans="1:7">
      <c r="A3" t="s">
        <v>701</v>
      </c>
      <c r="B3" t="s">
        <v>702</v>
      </c>
      <c r="C3" t="s">
        <v>703</v>
      </c>
      <c r="D3" t="s">
        <v>704</v>
      </c>
      <c r="E3" s="292">
        <v>41274</v>
      </c>
      <c r="F3" s="292">
        <v>41306</v>
      </c>
      <c r="G3" s="293">
        <v>1</v>
      </c>
    </row>
    <row r="4" spans="1:7">
      <c r="A4" t="s">
        <v>701</v>
      </c>
      <c r="B4" t="s">
        <v>702</v>
      </c>
      <c r="C4" t="s">
        <v>703</v>
      </c>
      <c r="D4" t="s">
        <v>704</v>
      </c>
      <c r="E4" s="292">
        <v>41309</v>
      </c>
      <c r="F4" s="292">
        <v>41390</v>
      </c>
      <c r="G4" s="293">
        <v>0.1</v>
      </c>
    </row>
    <row r="5" spans="1:7">
      <c r="A5" t="s">
        <v>701</v>
      </c>
      <c r="B5" t="s">
        <v>702</v>
      </c>
      <c r="C5" t="s">
        <v>705</v>
      </c>
      <c r="D5" t="s">
        <v>706</v>
      </c>
      <c r="E5" s="292">
        <v>41092</v>
      </c>
      <c r="F5" s="292">
        <v>41306</v>
      </c>
      <c r="G5" s="293">
        <v>1</v>
      </c>
    </row>
    <row r="6" spans="1:7">
      <c r="A6" t="s">
        <v>701</v>
      </c>
      <c r="B6" t="s">
        <v>702</v>
      </c>
      <c r="C6" t="s">
        <v>705</v>
      </c>
      <c r="D6" t="s">
        <v>706</v>
      </c>
      <c r="E6" s="292">
        <v>41309</v>
      </c>
      <c r="F6" s="292">
        <v>41390</v>
      </c>
      <c r="G6" s="293">
        <v>0.1</v>
      </c>
    </row>
    <row r="7" spans="1:7">
      <c r="A7" t="s">
        <v>701</v>
      </c>
      <c r="B7" t="s">
        <v>702</v>
      </c>
      <c r="C7" t="s">
        <v>707</v>
      </c>
      <c r="D7" t="s">
        <v>708</v>
      </c>
      <c r="E7" s="292">
        <v>41092</v>
      </c>
      <c r="F7" s="292">
        <v>41306</v>
      </c>
      <c r="G7" s="293">
        <v>0.1</v>
      </c>
    </row>
    <row r="8" spans="1:7">
      <c r="A8" t="s">
        <v>701</v>
      </c>
      <c r="B8" t="s">
        <v>702</v>
      </c>
      <c r="C8" t="s">
        <v>709</v>
      </c>
      <c r="E8" s="292">
        <v>41092</v>
      </c>
      <c r="F8" s="292">
        <v>41131</v>
      </c>
      <c r="G8" s="293">
        <v>1</v>
      </c>
    </row>
    <row r="9" spans="1:7">
      <c r="A9" t="s">
        <v>701</v>
      </c>
      <c r="B9" t="s">
        <v>702</v>
      </c>
      <c r="C9" t="s">
        <v>710</v>
      </c>
      <c r="E9" s="292">
        <v>41092</v>
      </c>
      <c r="F9" s="292">
        <v>41292</v>
      </c>
      <c r="G9" s="293">
        <v>0.1</v>
      </c>
    </row>
    <row r="10" spans="1:7">
      <c r="A10" t="s">
        <v>711</v>
      </c>
      <c r="B10" t="s">
        <v>712</v>
      </c>
      <c r="C10" t="s">
        <v>713</v>
      </c>
      <c r="D10" t="s">
        <v>704</v>
      </c>
      <c r="E10" s="292">
        <v>41092</v>
      </c>
      <c r="F10" s="292">
        <v>41306</v>
      </c>
      <c r="G10" s="293">
        <v>1</v>
      </c>
    </row>
    <row r="11" spans="1:7">
      <c r="A11" t="s">
        <v>711</v>
      </c>
      <c r="B11" t="s">
        <v>712</v>
      </c>
      <c r="C11" t="s">
        <v>713</v>
      </c>
      <c r="D11" t="s">
        <v>704</v>
      </c>
      <c r="E11" s="292">
        <v>41309</v>
      </c>
      <c r="F11" s="292">
        <v>41390</v>
      </c>
      <c r="G11" s="293">
        <v>0.5</v>
      </c>
    </row>
    <row r="12" spans="1:7">
      <c r="A12" t="s">
        <v>711</v>
      </c>
      <c r="B12" t="s">
        <v>712</v>
      </c>
      <c r="C12" t="s">
        <v>709</v>
      </c>
      <c r="E12" s="292">
        <v>41113</v>
      </c>
      <c r="F12" s="292">
        <v>41257</v>
      </c>
      <c r="G12" s="293">
        <v>1</v>
      </c>
    </row>
    <row r="13" spans="1:7">
      <c r="A13" t="s">
        <v>711</v>
      </c>
      <c r="B13" t="s">
        <v>712</v>
      </c>
      <c r="C13" t="s">
        <v>705</v>
      </c>
      <c r="D13" t="s">
        <v>706</v>
      </c>
      <c r="E13" s="292">
        <v>41092</v>
      </c>
      <c r="F13" s="292">
        <v>41306</v>
      </c>
      <c r="G13" s="293">
        <v>1</v>
      </c>
    </row>
    <row r="14" spans="1:7">
      <c r="A14" t="s">
        <v>711</v>
      </c>
      <c r="B14" t="s">
        <v>712</v>
      </c>
      <c r="C14" t="s">
        <v>705</v>
      </c>
      <c r="D14" t="s">
        <v>714</v>
      </c>
      <c r="E14" s="292">
        <v>41092</v>
      </c>
      <c r="F14" s="292">
        <v>41131</v>
      </c>
      <c r="G14" s="293">
        <v>0.5</v>
      </c>
    </row>
    <row r="15" spans="1:7">
      <c r="A15" t="s">
        <v>711</v>
      </c>
      <c r="B15" t="s">
        <v>712</v>
      </c>
      <c r="C15" t="s">
        <v>705</v>
      </c>
      <c r="D15" t="s">
        <v>714</v>
      </c>
      <c r="E15" s="292">
        <v>41134</v>
      </c>
      <c r="F15" s="292">
        <v>41173</v>
      </c>
      <c r="G15" s="293">
        <v>0.4</v>
      </c>
    </row>
    <row r="16" spans="1:7">
      <c r="A16" t="s">
        <v>711</v>
      </c>
      <c r="B16" t="s">
        <v>712</v>
      </c>
      <c r="C16" t="s">
        <v>705</v>
      </c>
      <c r="D16" t="s">
        <v>714</v>
      </c>
      <c r="E16" s="292">
        <v>41176</v>
      </c>
      <c r="F16" s="292">
        <v>41306</v>
      </c>
      <c r="G16" s="293">
        <v>0.2</v>
      </c>
    </row>
    <row r="17" spans="1:7">
      <c r="A17" t="s">
        <v>711</v>
      </c>
      <c r="B17" t="s">
        <v>712</v>
      </c>
      <c r="C17" t="s">
        <v>705</v>
      </c>
      <c r="D17" t="s">
        <v>714</v>
      </c>
      <c r="E17" s="292">
        <v>41309</v>
      </c>
      <c r="F17" s="292">
        <v>41390</v>
      </c>
      <c r="G17" s="293">
        <v>0.1</v>
      </c>
    </row>
    <row r="18" spans="1:7">
      <c r="A18" t="s">
        <v>711</v>
      </c>
      <c r="B18" t="s">
        <v>712</v>
      </c>
      <c r="C18" t="s">
        <v>715</v>
      </c>
      <c r="E18" s="292">
        <v>41092</v>
      </c>
      <c r="F18" s="292">
        <v>41124</v>
      </c>
      <c r="G18" s="293">
        <v>0.5</v>
      </c>
    </row>
    <row r="19" spans="1:7">
      <c r="A19" t="s">
        <v>711</v>
      </c>
      <c r="B19" t="s">
        <v>712</v>
      </c>
      <c r="C19" t="s">
        <v>715</v>
      </c>
      <c r="E19" s="292">
        <v>41141</v>
      </c>
      <c r="F19" s="292">
        <v>41306</v>
      </c>
      <c r="G19" s="293">
        <v>0.5</v>
      </c>
    </row>
    <row r="20" spans="1:7">
      <c r="A20" t="s">
        <v>716</v>
      </c>
      <c r="B20" t="s">
        <v>712</v>
      </c>
      <c r="C20" t="s">
        <v>715</v>
      </c>
      <c r="E20" s="292">
        <v>41127</v>
      </c>
      <c r="F20" s="292">
        <v>41138</v>
      </c>
      <c r="G20" s="293">
        <v>1</v>
      </c>
    </row>
    <row r="21" spans="1:7">
      <c r="A21" t="s">
        <v>716</v>
      </c>
      <c r="B21" t="s">
        <v>712</v>
      </c>
      <c r="C21" t="s">
        <v>717</v>
      </c>
      <c r="E21" s="292">
        <v>41239</v>
      </c>
      <c r="F21" s="292">
        <v>41334</v>
      </c>
      <c r="G21" s="293">
        <v>1</v>
      </c>
    </row>
    <row r="22" spans="1:7">
      <c r="A22" t="s">
        <v>711</v>
      </c>
      <c r="B22" t="s">
        <v>712</v>
      </c>
      <c r="C22" t="s">
        <v>718</v>
      </c>
      <c r="D22" t="s">
        <v>719</v>
      </c>
      <c r="E22" s="292">
        <v>41092</v>
      </c>
      <c r="F22" s="292">
        <v>41306</v>
      </c>
      <c r="G22" s="293">
        <v>0.5</v>
      </c>
    </row>
    <row r="23" spans="1:7">
      <c r="A23" t="s">
        <v>711</v>
      </c>
      <c r="B23" t="s">
        <v>712</v>
      </c>
      <c r="C23" t="s">
        <v>718</v>
      </c>
      <c r="D23" t="s">
        <v>719</v>
      </c>
      <c r="E23" s="292">
        <v>41092</v>
      </c>
      <c r="F23" s="292">
        <v>41306</v>
      </c>
      <c r="G23" s="293">
        <v>0.5</v>
      </c>
    </row>
    <row r="24" spans="1:7">
      <c r="A24" t="s">
        <v>711</v>
      </c>
      <c r="B24" t="s">
        <v>712</v>
      </c>
      <c r="C24" t="s">
        <v>718</v>
      </c>
      <c r="D24" t="s">
        <v>719</v>
      </c>
      <c r="E24" s="292">
        <v>41134</v>
      </c>
      <c r="F24" s="292">
        <v>41236</v>
      </c>
      <c r="G24" s="293">
        <v>0.5</v>
      </c>
    </row>
    <row r="25" spans="1:7">
      <c r="A25" t="s">
        <v>711</v>
      </c>
      <c r="B25" t="s">
        <v>712</v>
      </c>
      <c r="C25" t="s">
        <v>718</v>
      </c>
      <c r="D25" t="s">
        <v>719</v>
      </c>
      <c r="E25" s="292">
        <v>41239</v>
      </c>
      <c r="F25" s="292">
        <v>41306</v>
      </c>
      <c r="G25" s="293">
        <v>1</v>
      </c>
    </row>
    <row r="26" spans="1:7">
      <c r="A26" t="s">
        <v>711</v>
      </c>
      <c r="B26" t="s">
        <v>712</v>
      </c>
      <c r="C26" t="s">
        <v>720</v>
      </c>
      <c r="D26" t="s">
        <v>721</v>
      </c>
      <c r="E26" s="292">
        <v>41092</v>
      </c>
      <c r="F26" s="292">
        <v>41236</v>
      </c>
      <c r="G26" s="293">
        <v>0.5</v>
      </c>
    </row>
    <row r="27" spans="1:7">
      <c r="A27" t="s">
        <v>711</v>
      </c>
      <c r="B27" t="s">
        <v>712</v>
      </c>
      <c r="C27" t="s">
        <v>720</v>
      </c>
      <c r="D27" t="s">
        <v>721</v>
      </c>
      <c r="E27" s="292">
        <v>41239</v>
      </c>
      <c r="F27" s="292">
        <v>41292</v>
      </c>
      <c r="G27" s="293">
        <v>1</v>
      </c>
    </row>
    <row r="28" spans="1:7">
      <c r="A28" t="s">
        <v>711</v>
      </c>
      <c r="B28" t="s">
        <v>712</v>
      </c>
      <c r="C28" t="s">
        <v>722</v>
      </c>
      <c r="D28" t="s">
        <v>723</v>
      </c>
      <c r="E28" s="292">
        <v>41092</v>
      </c>
      <c r="F28" s="292">
        <v>41103</v>
      </c>
      <c r="G28" s="293">
        <v>0.25</v>
      </c>
    </row>
    <row r="29" spans="1:7">
      <c r="A29" t="s">
        <v>711</v>
      </c>
      <c r="B29" t="s">
        <v>712</v>
      </c>
      <c r="C29" t="s">
        <v>722</v>
      </c>
      <c r="D29" t="s">
        <v>723</v>
      </c>
      <c r="E29" s="292">
        <v>41127</v>
      </c>
      <c r="F29" s="292">
        <v>41292</v>
      </c>
      <c r="G29" s="293">
        <v>0.25</v>
      </c>
    </row>
    <row r="30" spans="1:7">
      <c r="A30" t="s">
        <v>716</v>
      </c>
      <c r="B30" t="s">
        <v>712</v>
      </c>
      <c r="C30" t="s">
        <v>722</v>
      </c>
      <c r="D30" t="s">
        <v>723</v>
      </c>
      <c r="E30" s="292">
        <v>41106</v>
      </c>
      <c r="F30" s="292">
        <v>41124</v>
      </c>
      <c r="G30" s="293">
        <v>1</v>
      </c>
    </row>
    <row r="31" spans="1:7">
      <c r="A31" t="s">
        <v>701</v>
      </c>
      <c r="B31" t="s">
        <v>702</v>
      </c>
      <c r="C31" t="s">
        <v>35</v>
      </c>
      <c r="D31" t="s">
        <v>35</v>
      </c>
      <c r="E31" s="292">
        <v>41092</v>
      </c>
      <c r="F31" s="292">
        <v>41131</v>
      </c>
      <c r="G31" s="293">
        <v>0.5</v>
      </c>
    </row>
    <row r="32" spans="1:7">
      <c r="A32" t="s">
        <v>701</v>
      </c>
      <c r="B32" t="s">
        <v>702</v>
      </c>
      <c r="C32" t="s">
        <v>726</v>
      </c>
      <c r="D32" t="s">
        <v>727</v>
      </c>
      <c r="E32" s="292">
        <v>41092</v>
      </c>
      <c r="F32" s="292">
        <v>41173</v>
      </c>
      <c r="G32" s="293">
        <v>0.5</v>
      </c>
    </row>
    <row r="33" spans="1:7">
      <c r="A33" t="s">
        <v>701</v>
      </c>
      <c r="B33" t="s">
        <v>702</v>
      </c>
      <c r="C33" t="s">
        <v>728</v>
      </c>
      <c r="D33" t="s">
        <v>729</v>
      </c>
      <c r="E33" s="292">
        <v>41092</v>
      </c>
      <c r="F33" s="292">
        <v>41131</v>
      </c>
      <c r="G33" s="293">
        <v>0.5</v>
      </c>
    </row>
    <row r="34" spans="1:7">
      <c r="A34" t="s">
        <v>701</v>
      </c>
      <c r="B34" t="s">
        <v>702</v>
      </c>
      <c r="C34" t="s">
        <v>728</v>
      </c>
      <c r="D34" t="s">
        <v>729</v>
      </c>
      <c r="E34" s="292">
        <v>41134</v>
      </c>
      <c r="F34" s="292">
        <v>41173</v>
      </c>
      <c r="G34" s="293">
        <v>0.25</v>
      </c>
    </row>
    <row r="35" spans="1:7">
      <c r="A35" t="s">
        <v>701</v>
      </c>
      <c r="B35" t="s">
        <v>702</v>
      </c>
      <c r="C35" t="s">
        <v>728</v>
      </c>
      <c r="D35" t="s">
        <v>729</v>
      </c>
      <c r="E35" s="292">
        <v>41176</v>
      </c>
      <c r="F35" s="292">
        <v>41278</v>
      </c>
      <c r="G35" s="293">
        <v>0.1</v>
      </c>
    </row>
    <row r="36" spans="1:7">
      <c r="A36" t="s">
        <v>701</v>
      </c>
      <c r="B36" t="s">
        <v>702</v>
      </c>
      <c r="C36" t="s">
        <v>717</v>
      </c>
      <c r="D36" t="s">
        <v>706</v>
      </c>
      <c r="E36" s="292">
        <v>41092</v>
      </c>
      <c r="F36" s="292">
        <v>41131</v>
      </c>
      <c r="G36" s="293">
        <v>1</v>
      </c>
    </row>
    <row r="37" spans="1:7">
      <c r="A37" t="s">
        <v>701</v>
      </c>
      <c r="B37" t="s">
        <v>702</v>
      </c>
      <c r="C37" t="s">
        <v>730</v>
      </c>
      <c r="E37" s="292">
        <v>41106</v>
      </c>
      <c r="F37" s="292">
        <v>41131</v>
      </c>
      <c r="G37" s="293">
        <v>0.25</v>
      </c>
    </row>
    <row r="38" spans="1:7">
      <c r="A38" t="s">
        <v>701</v>
      </c>
      <c r="B38" t="s">
        <v>702</v>
      </c>
      <c r="C38" t="s">
        <v>730</v>
      </c>
      <c r="E38" s="292">
        <v>41274</v>
      </c>
      <c r="F38" s="292">
        <v>41299</v>
      </c>
      <c r="G38" s="293">
        <v>0.25</v>
      </c>
    </row>
    <row r="39" spans="1:7">
      <c r="A39" t="s">
        <v>711</v>
      </c>
      <c r="B39" t="s">
        <v>712</v>
      </c>
      <c r="C39" t="s">
        <v>718</v>
      </c>
      <c r="D39" t="s">
        <v>719</v>
      </c>
      <c r="E39" s="292">
        <v>41092</v>
      </c>
      <c r="F39" s="292">
        <v>41306</v>
      </c>
      <c r="G39" s="293">
        <v>0.5</v>
      </c>
    </row>
    <row r="40" spans="1:7">
      <c r="A40" t="s">
        <v>711</v>
      </c>
      <c r="B40" t="s">
        <v>712</v>
      </c>
      <c r="C40" t="s">
        <v>718</v>
      </c>
      <c r="D40" t="s">
        <v>719</v>
      </c>
      <c r="E40" s="292">
        <v>41092</v>
      </c>
      <c r="F40" s="292">
        <v>41306</v>
      </c>
      <c r="G40" s="293">
        <v>0.5</v>
      </c>
    </row>
    <row r="41" spans="1:7">
      <c r="A41" t="s">
        <v>711</v>
      </c>
      <c r="B41" t="s">
        <v>712</v>
      </c>
      <c r="C41" t="s">
        <v>718</v>
      </c>
      <c r="D41" t="s">
        <v>719</v>
      </c>
      <c r="E41" s="292">
        <v>41092</v>
      </c>
      <c r="F41" s="292">
        <v>41131</v>
      </c>
      <c r="G41" s="293">
        <v>1</v>
      </c>
    </row>
    <row r="42" spans="1:7">
      <c r="A42" t="s">
        <v>711</v>
      </c>
      <c r="B42" t="s">
        <v>712</v>
      </c>
      <c r="C42" t="s">
        <v>718</v>
      </c>
      <c r="D42" t="s">
        <v>719</v>
      </c>
      <c r="E42" s="292">
        <v>41134</v>
      </c>
      <c r="F42" s="292">
        <v>41236</v>
      </c>
      <c r="G42" s="293">
        <v>0.5</v>
      </c>
    </row>
    <row r="43" spans="1:7">
      <c r="A43" t="s">
        <v>711</v>
      </c>
      <c r="B43" t="s">
        <v>712</v>
      </c>
      <c r="C43" t="s">
        <v>717</v>
      </c>
      <c r="E43" s="292">
        <v>41092</v>
      </c>
      <c r="F43" s="292">
        <v>41236</v>
      </c>
      <c r="G43" s="293">
        <v>1</v>
      </c>
    </row>
    <row r="44" spans="1:7">
      <c r="A44" t="s">
        <v>711</v>
      </c>
      <c r="B44" t="s">
        <v>712</v>
      </c>
      <c r="C44" t="s">
        <v>735</v>
      </c>
      <c r="D44" t="s">
        <v>736</v>
      </c>
      <c r="E44" s="292">
        <v>41092</v>
      </c>
      <c r="F44" s="292">
        <v>41292</v>
      </c>
      <c r="G44" s="293">
        <v>1</v>
      </c>
    </row>
    <row r="45" spans="1:7">
      <c r="A45" t="s">
        <v>711</v>
      </c>
      <c r="B45" t="s">
        <v>712</v>
      </c>
      <c r="C45" t="s">
        <v>735</v>
      </c>
      <c r="D45" t="s">
        <v>736</v>
      </c>
      <c r="E45" s="292">
        <v>41092</v>
      </c>
      <c r="F45" s="292">
        <v>41334</v>
      </c>
      <c r="G45" s="293">
        <v>1</v>
      </c>
    </row>
    <row r="46" spans="1:7">
      <c r="A46" t="s">
        <v>711</v>
      </c>
      <c r="B46" t="s">
        <v>712</v>
      </c>
      <c r="C46" t="s">
        <v>735</v>
      </c>
      <c r="D46" t="s">
        <v>739</v>
      </c>
      <c r="E46" s="292">
        <v>41092</v>
      </c>
      <c r="F46" s="292">
        <v>41334</v>
      </c>
      <c r="G46" s="293">
        <v>1</v>
      </c>
    </row>
    <row r="47" spans="1:7">
      <c r="A47" t="s">
        <v>711</v>
      </c>
      <c r="B47" t="s">
        <v>712</v>
      </c>
      <c r="C47" t="s">
        <v>735</v>
      </c>
      <c r="D47" t="s">
        <v>739</v>
      </c>
      <c r="E47" s="292">
        <v>41092</v>
      </c>
      <c r="F47" s="292">
        <v>41334</v>
      </c>
      <c r="G47" s="293">
        <v>1</v>
      </c>
    </row>
    <row r="48" spans="1:7">
      <c r="A48" t="s">
        <v>711</v>
      </c>
      <c r="B48" t="s">
        <v>712</v>
      </c>
      <c r="C48" t="s">
        <v>735</v>
      </c>
      <c r="D48" t="s">
        <v>739</v>
      </c>
      <c r="E48" s="292">
        <v>41092</v>
      </c>
      <c r="F48" s="292">
        <v>41334</v>
      </c>
      <c r="G48" s="293">
        <v>1</v>
      </c>
    </row>
    <row r="49" spans="1:7">
      <c r="A49" t="s">
        <v>711</v>
      </c>
      <c r="B49" t="s">
        <v>712</v>
      </c>
      <c r="C49" t="s">
        <v>743</v>
      </c>
      <c r="D49" t="s">
        <v>739</v>
      </c>
      <c r="E49" s="292">
        <v>41092</v>
      </c>
      <c r="F49" s="292">
        <v>41292</v>
      </c>
      <c r="G49" s="293">
        <v>1</v>
      </c>
    </row>
    <row r="50" spans="1:7">
      <c r="A50" t="s">
        <v>711</v>
      </c>
      <c r="B50" t="s">
        <v>712</v>
      </c>
      <c r="C50" t="s">
        <v>743</v>
      </c>
      <c r="D50" t="s">
        <v>739</v>
      </c>
      <c r="E50" s="292">
        <v>41092</v>
      </c>
      <c r="F50" s="292">
        <v>41292</v>
      </c>
      <c r="G50" s="293">
        <v>1</v>
      </c>
    </row>
    <row r="51" spans="1:7">
      <c r="A51" t="s">
        <v>711</v>
      </c>
      <c r="B51" t="s">
        <v>712</v>
      </c>
      <c r="C51" t="s">
        <v>743</v>
      </c>
      <c r="D51" t="s">
        <v>739</v>
      </c>
      <c r="E51" s="292">
        <v>41134</v>
      </c>
      <c r="F51" s="292">
        <v>41292</v>
      </c>
      <c r="G51" s="293">
        <v>1</v>
      </c>
    </row>
    <row r="52" spans="1:7">
      <c r="A52" t="s">
        <v>711</v>
      </c>
      <c r="B52" t="s">
        <v>712</v>
      </c>
      <c r="C52" t="s">
        <v>743</v>
      </c>
      <c r="D52" t="s">
        <v>739</v>
      </c>
      <c r="E52" s="292">
        <v>41134</v>
      </c>
      <c r="F52" s="292">
        <v>41292</v>
      </c>
      <c r="G52" s="293">
        <v>1</v>
      </c>
    </row>
    <row r="53" spans="1:7">
      <c r="A53" t="s">
        <v>711</v>
      </c>
      <c r="B53" t="s">
        <v>712</v>
      </c>
      <c r="C53" t="s">
        <v>743</v>
      </c>
      <c r="D53" t="s">
        <v>739</v>
      </c>
      <c r="E53" s="292">
        <v>41134</v>
      </c>
      <c r="F53" s="292">
        <v>41292</v>
      </c>
      <c r="G53" s="293">
        <v>1</v>
      </c>
    </row>
    <row r="54" spans="1:7">
      <c r="A54" t="s">
        <v>711</v>
      </c>
      <c r="B54" t="s">
        <v>712</v>
      </c>
      <c r="C54" t="s">
        <v>743</v>
      </c>
      <c r="D54" t="s">
        <v>739</v>
      </c>
      <c r="E54" s="292">
        <v>41134</v>
      </c>
      <c r="F54" s="292">
        <v>41292</v>
      </c>
      <c r="G54" s="293">
        <v>1</v>
      </c>
    </row>
    <row r="55" spans="1:7">
      <c r="A55" t="s">
        <v>711</v>
      </c>
      <c r="B55" t="s">
        <v>712</v>
      </c>
      <c r="C55" t="s">
        <v>743</v>
      </c>
      <c r="D55" t="s">
        <v>739</v>
      </c>
      <c r="E55" s="292">
        <v>41134</v>
      </c>
      <c r="F55" s="292">
        <v>41236</v>
      </c>
      <c r="G55" s="293">
        <v>1</v>
      </c>
    </row>
    <row r="56" spans="1:7">
      <c r="A56" t="s">
        <v>711</v>
      </c>
      <c r="B56" t="s">
        <v>712</v>
      </c>
      <c r="C56" t="s">
        <v>743</v>
      </c>
      <c r="D56" t="s">
        <v>739</v>
      </c>
      <c r="E56" s="292">
        <v>41134</v>
      </c>
      <c r="F56" s="292">
        <v>41236</v>
      </c>
      <c r="G56" s="293">
        <v>1</v>
      </c>
    </row>
    <row r="57" spans="1:7">
      <c r="A57" t="s">
        <v>711</v>
      </c>
      <c r="B57" t="s">
        <v>712</v>
      </c>
      <c r="C57" t="s">
        <v>735</v>
      </c>
      <c r="D57" t="s">
        <v>736</v>
      </c>
      <c r="E57" s="292">
        <v>41092</v>
      </c>
      <c r="F57" s="292">
        <v>41334</v>
      </c>
      <c r="G57" s="293">
        <v>1</v>
      </c>
    </row>
    <row r="58" spans="1:7">
      <c r="A58" t="s">
        <v>711</v>
      </c>
      <c r="B58" t="s">
        <v>712</v>
      </c>
      <c r="C58" t="s">
        <v>743</v>
      </c>
      <c r="D58" t="s">
        <v>739</v>
      </c>
      <c r="E58" s="292">
        <v>41092</v>
      </c>
      <c r="F58" s="292">
        <v>41334</v>
      </c>
      <c r="G58" s="293">
        <v>1</v>
      </c>
    </row>
    <row r="59" spans="1:7">
      <c r="A59" t="s">
        <v>711</v>
      </c>
      <c r="B59" t="s">
        <v>712</v>
      </c>
      <c r="C59" t="s">
        <v>735</v>
      </c>
      <c r="D59" t="s">
        <v>736</v>
      </c>
      <c r="E59" s="292">
        <v>41092</v>
      </c>
      <c r="F59" s="292">
        <v>41292</v>
      </c>
      <c r="G59" s="293">
        <v>1</v>
      </c>
    </row>
    <row r="60" spans="1:7">
      <c r="A60" t="s">
        <v>711</v>
      </c>
      <c r="B60" t="s">
        <v>712</v>
      </c>
      <c r="C60" t="s">
        <v>743</v>
      </c>
      <c r="D60" t="s">
        <v>739</v>
      </c>
      <c r="E60" s="292">
        <v>41092</v>
      </c>
      <c r="F60" s="292">
        <v>41271</v>
      </c>
      <c r="G60" s="293">
        <v>1</v>
      </c>
    </row>
    <row r="61" spans="1:7">
      <c r="A61" t="s">
        <v>711</v>
      </c>
      <c r="B61" t="s">
        <v>712</v>
      </c>
      <c r="C61" t="s">
        <v>755</v>
      </c>
      <c r="D61" t="s">
        <v>756</v>
      </c>
      <c r="E61" s="292">
        <v>41204</v>
      </c>
      <c r="F61" s="292">
        <v>41285</v>
      </c>
      <c r="G61" s="293">
        <v>1</v>
      </c>
    </row>
    <row r="62" spans="1:7">
      <c r="A62" t="s">
        <v>711</v>
      </c>
      <c r="B62" t="s">
        <v>712</v>
      </c>
      <c r="C62" t="s">
        <v>722</v>
      </c>
      <c r="D62" t="s">
        <v>723</v>
      </c>
      <c r="E62" s="292">
        <v>41092</v>
      </c>
      <c r="F62" s="292">
        <v>41103</v>
      </c>
      <c r="G62" s="293">
        <v>0.25</v>
      </c>
    </row>
    <row r="63" spans="1:7">
      <c r="A63" t="s">
        <v>711</v>
      </c>
      <c r="B63" t="s">
        <v>712</v>
      </c>
      <c r="C63" t="s">
        <v>722</v>
      </c>
      <c r="D63" t="s">
        <v>723</v>
      </c>
      <c r="E63" s="292">
        <v>41127</v>
      </c>
      <c r="F63" s="292">
        <v>41292</v>
      </c>
      <c r="G63" s="293">
        <v>0.25</v>
      </c>
    </row>
    <row r="64" spans="1:7">
      <c r="A64" t="s">
        <v>711</v>
      </c>
      <c r="B64" t="s">
        <v>712</v>
      </c>
      <c r="C64" t="s">
        <v>758</v>
      </c>
      <c r="D64" t="s">
        <v>723</v>
      </c>
      <c r="E64" s="292">
        <v>41134</v>
      </c>
      <c r="F64" s="292">
        <v>41292</v>
      </c>
      <c r="G64" s="293">
        <v>1</v>
      </c>
    </row>
    <row r="65" spans="1:7">
      <c r="A65" t="s">
        <v>711</v>
      </c>
      <c r="B65" t="s">
        <v>712</v>
      </c>
      <c r="C65" t="s">
        <v>758</v>
      </c>
      <c r="D65" t="s">
        <v>723</v>
      </c>
      <c r="E65" s="292">
        <v>41092</v>
      </c>
      <c r="F65" s="292">
        <v>41334</v>
      </c>
      <c r="G65" s="293">
        <v>1</v>
      </c>
    </row>
    <row r="66" spans="1:7">
      <c r="A66" t="s">
        <v>711</v>
      </c>
      <c r="B66" t="s">
        <v>712</v>
      </c>
      <c r="C66" t="s">
        <v>761</v>
      </c>
      <c r="D66" t="s">
        <v>723</v>
      </c>
      <c r="E66" s="292">
        <v>41092</v>
      </c>
      <c r="F66" s="292">
        <v>41292</v>
      </c>
      <c r="G66" s="293">
        <v>1</v>
      </c>
    </row>
    <row r="67" spans="1:7">
      <c r="A67" t="s">
        <v>711</v>
      </c>
      <c r="B67" t="s">
        <v>712</v>
      </c>
      <c r="C67" t="s">
        <v>761</v>
      </c>
      <c r="D67" t="s">
        <v>723</v>
      </c>
      <c r="E67" s="292">
        <v>41134</v>
      </c>
      <c r="F67" s="292">
        <v>41201</v>
      </c>
      <c r="G67" s="293">
        <v>1</v>
      </c>
    </row>
    <row r="68" spans="1:7">
      <c r="A68" t="s">
        <v>711</v>
      </c>
      <c r="B68" t="s">
        <v>712</v>
      </c>
      <c r="C68" t="s">
        <v>762</v>
      </c>
      <c r="D68" t="s">
        <v>763</v>
      </c>
      <c r="E68" s="292">
        <v>41092</v>
      </c>
      <c r="F68" s="292">
        <v>41306</v>
      </c>
      <c r="G68" s="293">
        <v>1</v>
      </c>
    </row>
    <row r="69" spans="1:7">
      <c r="A69" t="s">
        <v>711</v>
      </c>
      <c r="B69" t="s">
        <v>712</v>
      </c>
      <c r="C69" t="s">
        <v>762</v>
      </c>
      <c r="D69" t="s">
        <v>763</v>
      </c>
      <c r="E69" s="292">
        <v>41092</v>
      </c>
      <c r="F69" s="292">
        <v>41334</v>
      </c>
      <c r="G69" s="293">
        <v>1</v>
      </c>
    </row>
    <row r="70" spans="1:7">
      <c r="A70" t="s">
        <v>711</v>
      </c>
      <c r="B70" t="s">
        <v>712</v>
      </c>
      <c r="C70" t="s">
        <v>762</v>
      </c>
      <c r="D70" t="s">
        <v>763</v>
      </c>
      <c r="E70" s="292">
        <v>41092</v>
      </c>
      <c r="F70" s="292">
        <v>41292</v>
      </c>
      <c r="G70" s="293">
        <v>1</v>
      </c>
    </row>
    <row r="71" spans="1:7">
      <c r="A71" t="s">
        <v>711</v>
      </c>
      <c r="B71" t="s">
        <v>712</v>
      </c>
      <c r="C71" t="s">
        <v>766</v>
      </c>
      <c r="D71" t="s">
        <v>763</v>
      </c>
      <c r="E71" s="292">
        <v>41134</v>
      </c>
      <c r="F71" s="292">
        <v>41292</v>
      </c>
      <c r="G71" s="293">
        <v>1</v>
      </c>
    </row>
    <row r="72" spans="1:7">
      <c r="A72" t="s">
        <v>711</v>
      </c>
      <c r="B72" t="s">
        <v>712</v>
      </c>
      <c r="C72" t="s">
        <v>766</v>
      </c>
      <c r="D72" t="s">
        <v>763</v>
      </c>
      <c r="E72" s="292">
        <v>41134</v>
      </c>
      <c r="F72" s="292">
        <v>41271</v>
      </c>
      <c r="G72" s="293">
        <v>1</v>
      </c>
    </row>
    <row r="73" spans="1:7">
      <c r="A73" t="s">
        <v>711</v>
      </c>
      <c r="B73" t="s">
        <v>712</v>
      </c>
      <c r="C73" t="s">
        <v>735</v>
      </c>
      <c r="D73" t="s">
        <v>736</v>
      </c>
      <c r="E73" s="292">
        <v>41092</v>
      </c>
      <c r="F73" s="292">
        <v>41194</v>
      </c>
      <c r="G73" s="293">
        <v>1</v>
      </c>
    </row>
    <row r="74" spans="1:7">
      <c r="A74" t="s">
        <v>711</v>
      </c>
      <c r="B74" t="s">
        <v>712</v>
      </c>
      <c r="C74" t="s">
        <v>735</v>
      </c>
      <c r="D74" t="s">
        <v>736</v>
      </c>
      <c r="E74" s="292">
        <v>41197</v>
      </c>
      <c r="F74" s="292">
        <v>41306</v>
      </c>
      <c r="G74" s="293">
        <v>0.5</v>
      </c>
    </row>
    <row r="75" spans="1:7">
      <c r="A75" t="s">
        <v>711</v>
      </c>
      <c r="B75" t="s">
        <v>712</v>
      </c>
      <c r="C75" t="s">
        <v>735</v>
      </c>
      <c r="D75" t="s">
        <v>736</v>
      </c>
      <c r="E75" s="292">
        <v>41197</v>
      </c>
      <c r="F75" s="292">
        <v>41306</v>
      </c>
      <c r="G75" s="293">
        <v>0.5</v>
      </c>
    </row>
    <row r="76" spans="1:7">
      <c r="A76" t="s">
        <v>711</v>
      </c>
      <c r="B76" t="s">
        <v>712</v>
      </c>
      <c r="C76" t="s">
        <v>735</v>
      </c>
      <c r="D76" t="s">
        <v>763</v>
      </c>
      <c r="E76" s="292">
        <v>41169</v>
      </c>
      <c r="F76" s="292">
        <v>41250</v>
      </c>
      <c r="G76" s="293">
        <v>1</v>
      </c>
    </row>
    <row r="77" spans="1:7">
      <c r="A77" t="s">
        <v>711</v>
      </c>
      <c r="B77" t="s">
        <v>712</v>
      </c>
      <c r="C77" t="s">
        <v>735</v>
      </c>
      <c r="D77" t="s">
        <v>763</v>
      </c>
      <c r="E77" s="292">
        <v>41253</v>
      </c>
      <c r="F77" s="292">
        <v>41292</v>
      </c>
      <c r="G77" s="293">
        <v>0.5</v>
      </c>
    </row>
    <row r="78" spans="1:7">
      <c r="A78" t="s">
        <v>711</v>
      </c>
      <c r="B78" t="s">
        <v>712</v>
      </c>
      <c r="C78" t="s">
        <v>715</v>
      </c>
      <c r="E78" s="292">
        <v>41225</v>
      </c>
      <c r="F78" s="292">
        <v>41278</v>
      </c>
      <c r="G78" s="293">
        <v>0.5</v>
      </c>
    </row>
  </sheetData>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M363"/>
  <sheetViews>
    <sheetView workbookViewId="0">
      <selection activeCell="F20" sqref="F20"/>
    </sheetView>
  </sheetViews>
  <sheetFormatPr defaultRowHeight="15.5"/>
  <cols>
    <col min="1" max="1" width="30" bestFit="1" customWidth="1"/>
    <col min="2" max="2" width="10.33203125" style="89" bestFit="1" customWidth="1"/>
    <col min="3" max="3" width="0.58203125" style="87" customWidth="1"/>
    <col min="4" max="4" width="17.08203125" customWidth="1"/>
    <col min="5" max="5" width="27.58203125" bestFit="1" customWidth="1"/>
    <col min="6" max="6" width="16.75" bestFit="1" customWidth="1"/>
    <col min="7" max="7" width="14.83203125" bestFit="1" customWidth="1"/>
    <col min="8" max="8" width="20.5" bestFit="1" customWidth="1"/>
    <col min="9" max="9" width="15.33203125" bestFit="1" customWidth="1"/>
    <col min="10" max="10" width="21.58203125" bestFit="1" customWidth="1"/>
    <col min="11" max="11" width="16.58203125" bestFit="1" customWidth="1"/>
    <col min="12" max="12" width="40.58203125" bestFit="1" customWidth="1"/>
    <col min="13" max="13" width="44.25" bestFit="1" customWidth="1"/>
  </cols>
  <sheetData>
    <row r="1" spans="1:13">
      <c r="A1" s="5" t="s">
        <v>800</v>
      </c>
      <c r="B1" s="88" t="s">
        <v>801</v>
      </c>
      <c r="D1" s="5" t="s">
        <v>802</v>
      </c>
      <c r="E1" s="5" t="s">
        <v>803</v>
      </c>
      <c r="F1" s="5" t="s">
        <v>804</v>
      </c>
      <c r="G1" s="5" t="s">
        <v>805</v>
      </c>
      <c r="H1" s="5" t="s">
        <v>806</v>
      </c>
      <c r="I1" s="5" t="s">
        <v>807</v>
      </c>
      <c r="J1" s="5" t="s">
        <v>808</v>
      </c>
      <c r="K1" s="5" t="s">
        <v>809</v>
      </c>
      <c r="L1" s="5" t="s">
        <v>810</v>
      </c>
      <c r="M1" s="5" t="s">
        <v>811</v>
      </c>
    </row>
    <row r="2" spans="1:13">
      <c r="A2" s="5" t="s">
        <v>812</v>
      </c>
      <c r="B2" s="177">
        <f ca="1">stories_total_loe_buffered+addins_total_loe+risks_total_loe+staffing_total_loe_oversight</f>
        <v>5178.25</v>
      </c>
      <c r="D2" t="s">
        <v>813</v>
      </c>
      <c r="E2" t="s">
        <v>814</v>
      </c>
      <c r="F2" t="s">
        <v>22</v>
      </c>
      <c r="G2" t="s">
        <v>22</v>
      </c>
      <c r="H2" s="52" t="s">
        <v>815</v>
      </c>
      <c r="I2" t="s">
        <v>132</v>
      </c>
      <c r="J2" t="s">
        <v>701</v>
      </c>
      <c r="K2" t="s">
        <v>816</v>
      </c>
      <c r="L2" t="s">
        <v>817</v>
      </c>
      <c r="M2" t="s">
        <v>818</v>
      </c>
    </row>
    <row r="3" spans="1:13">
      <c r="A3" s="5" t="s">
        <v>819</v>
      </c>
      <c r="B3" s="155" t="str">
        <f>TEXT("13/3/2012","DD/MM/YYYY")</f>
        <v>13/3/2012</v>
      </c>
      <c r="D3" t="s">
        <v>19</v>
      </c>
      <c r="E3" t="s">
        <v>820</v>
      </c>
      <c r="F3" t="s">
        <v>23</v>
      </c>
      <c r="H3" t="s">
        <v>821</v>
      </c>
      <c r="I3" t="s">
        <v>137</v>
      </c>
      <c r="J3" t="s">
        <v>711</v>
      </c>
      <c r="K3" t="s">
        <v>822</v>
      </c>
      <c r="L3" t="s">
        <v>706</v>
      </c>
      <c r="M3" t="s">
        <v>823</v>
      </c>
    </row>
    <row r="4" spans="1:13">
      <c r="A4" s="5" t="s">
        <v>824</v>
      </c>
      <c r="B4" s="89" t="s">
        <v>825</v>
      </c>
      <c r="E4" t="s">
        <v>16</v>
      </c>
      <c r="F4" t="s">
        <v>24</v>
      </c>
      <c r="G4" t="s">
        <v>50</v>
      </c>
      <c r="H4" t="s">
        <v>826</v>
      </c>
      <c r="J4" t="s">
        <v>716</v>
      </c>
      <c r="K4" t="s">
        <v>827</v>
      </c>
      <c r="L4" t="s">
        <v>828</v>
      </c>
      <c r="M4" t="s">
        <v>829</v>
      </c>
    </row>
    <row r="5" spans="1:13">
      <c r="A5" s="5" t="s">
        <v>830</v>
      </c>
      <c r="F5" t="s">
        <v>25</v>
      </c>
      <c r="G5" t="s">
        <v>54</v>
      </c>
      <c r="H5" t="s">
        <v>831</v>
      </c>
      <c r="K5" t="s">
        <v>712</v>
      </c>
      <c r="L5" t="s">
        <v>832</v>
      </c>
      <c r="M5" t="s">
        <v>833</v>
      </c>
    </row>
    <row r="6" spans="1:13">
      <c r="F6" t="s">
        <v>26</v>
      </c>
      <c r="G6" t="s">
        <v>59</v>
      </c>
      <c r="H6" t="s">
        <v>834</v>
      </c>
      <c r="K6" t="s">
        <v>835</v>
      </c>
      <c r="L6" t="s">
        <v>710</v>
      </c>
      <c r="M6" t="s">
        <v>836</v>
      </c>
    </row>
    <row r="7" spans="1:13">
      <c r="F7" t="s">
        <v>27</v>
      </c>
      <c r="G7" t="s">
        <v>61</v>
      </c>
      <c r="H7" t="s">
        <v>837</v>
      </c>
      <c r="K7" t="s">
        <v>838</v>
      </c>
      <c r="L7" t="s">
        <v>839</v>
      </c>
      <c r="M7" t="s">
        <v>840</v>
      </c>
    </row>
    <row r="8" spans="1:13">
      <c r="F8" t="s">
        <v>28</v>
      </c>
      <c r="G8" t="s">
        <v>63</v>
      </c>
      <c r="H8" t="s">
        <v>841</v>
      </c>
      <c r="K8" t="s">
        <v>842</v>
      </c>
      <c r="L8" t="s">
        <v>843</v>
      </c>
      <c r="M8" t="s">
        <v>844</v>
      </c>
    </row>
    <row r="9" spans="1:13">
      <c r="F9" t="s">
        <v>29</v>
      </c>
      <c r="G9" t="s">
        <v>66</v>
      </c>
      <c r="K9" t="s">
        <v>845</v>
      </c>
      <c r="L9" t="s">
        <v>846</v>
      </c>
      <c r="M9" t="s">
        <v>828</v>
      </c>
    </row>
    <row r="10" spans="1:13">
      <c r="F10" t="s">
        <v>30</v>
      </c>
      <c r="G10" t="s">
        <v>68</v>
      </c>
      <c r="K10" t="s">
        <v>847</v>
      </c>
      <c r="L10" t="s">
        <v>848</v>
      </c>
      <c r="M10" t="s">
        <v>849</v>
      </c>
    </row>
    <row r="11" spans="1:13">
      <c r="F11" t="s">
        <v>31</v>
      </c>
      <c r="G11" t="s">
        <v>71</v>
      </c>
      <c r="K11" t="s">
        <v>702</v>
      </c>
      <c r="L11" t="s">
        <v>35</v>
      </c>
      <c r="M11" t="s">
        <v>850</v>
      </c>
    </row>
    <row r="12" spans="1:13">
      <c r="F12" t="s">
        <v>32</v>
      </c>
      <c r="G12" t="s">
        <v>72</v>
      </c>
      <c r="K12" t="s">
        <v>851</v>
      </c>
      <c r="L12" t="s">
        <v>852</v>
      </c>
      <c r="M12" t="s">
        <v>853</v>
      </c>
    </row>
    <row r="13" spans="1:13">
      <c r="F13" t="s">
        <v>33</v>
      </c>
      <c r="G13" t="s">
        <v>75</v>
      </c>
      <c r="K13" t="s">
        <v>854</v>
      </c>
      <c r="L13" t="s">
        <v>756</v>
      </c>
      <c r="M13" t="s">
        <v>855</v>
      </c>
    </row>
    <row r="14" spans="1:13">
      <c r="F14" t="s">
        <v>34</v>
      </c>
      <c r="G14" t="s">
        <v>76</v>
      </c>
      <c r="K14" t="s">
        <v>856</v>
      </c>
      <c r="L14" t="s">
        <v>857</v>
      </c>
      <c r="M14" t="s">
        <v>858</v>
      </c>
    </row>
    <row r="15" spans="1:13">
      <c r="F15" t="s">
        <v>35</v>
      </c>
      <c r="G15" t="s">
        <v>77</v>
      </c>
      <c r="K15" t="s">
        <v>859</v>
      </c>
      <c r="L15" t="s">
        <v>860</v>
      </c>
      <c r="M15" t="s">
        <v>861</v>
      </c>
    </row>
    <row r="16" spans="1:13">
      <c r="F16" t="s">
        <v>36</v>
      </c>
      <c r="G16" t="s">
        <v>87</v>
      </c>
      <c r="K16" t="s">
        <v>862</v>
      </c>
      <c r="L16" t="s">
        <v>863</v>
      </c>
      <c r="M16" t="s">
        <v>864</v>
      </c>
    </row>
    <row r="17" spans="6:13">
      <c r="F17" t="s">
        <v>37</v>
      </c>
      <c r="G17" t="s">
        <v>92</v>
      </c>
      <c r="K17" t="s">
        <v>865</v>
      </c>
      <c r="L17" t="s">
        <v>866</v>
      </c>
      <c r="M17" t="s">
        <v>867</v>
      </c>
    </row>
    <row r="18" spans="6:13">
      <c r="F18" t="s">
        <v>38</v>
      </c>
      <c r="G18" t="s">
        <v>96</v>
      </c>
      <c r="K18" t="s">
        <v>868</v>
      </c>
      <c r="L18" t="s">
        <v>869</v>
      </c>
      <c r="M18" t="s">
        <v>710</v>
      </c>
    </row>
    <row r="19" spans="6:13">
      <c r="F19" t="s">
        <v>39</v>
      </c>
      <c r="G19" t="s">
        <v>102</v>
      </c>
      <c r="K19" t="s">
        <v>870</v>
      </c>
      <c r="L19" t="s">
        <v>871</v>
      </c>
      <c r="M19" t="s">
        <v>872</v>
      </c>
    </row>
    <row r="20" spans="6:13">
      <c r="F20" t="s">
        <v>40</v>
      </c>
      <c r="G20" t="s">
        <v>103</v>
      </c>
      <c r="K20" t="s">
        <v>873</v>
      </c>
      <c r="L20" t="s">
        <v>874</v>
      </c>
      <c r="M20" t="s">
        <v>875</v>
      </c>
    </row>
    <row r="21" spans="6:13">
      <c r="G21" t="s">
        <v>104</v>
      </c>
      <c r="K21" t="s">
        <v>876</v>
      </c>
      <c r="L21" t="s">
        <v>727</v>
      </c>
      <c r="M21" t="s">
        <v>877</v>
      </c>
    </row>
    <row r="22" spans="6:13">
      <c r="G22" t="s">
        <v>105</v>
      </c>
      <c r="K22" t="s">
        <v>878</v>
      </c>
      <c r="L22" t="s">
        <v>879</v>
      </c>
      <c r="M22" t="s">
        <v>880</v>
      </c>
    </row>
    <row r="23" spans="6:13">
      <c r="K23" t="s">
        <v>881</v>
      </c>
      <c r="L23" t="s">
        <v>882</v>
      </c>
      <c r="M23" t="s">
        <v>883</v>
      </c>
    </row>
    <row r="24" spans="6:13">
      <c r="K24" t="s">
        <v>884</v>
      </c>
      <c r="L24" t="s">
        <v>885</v>
      </c>
      <c r="M24" t="s">
        <v>886</v>
      </c>
    </row>
    <row r="25" spans="6:13">
      <c r="K25" t="s">
        <v>887</v>
      </c>
      <c r="L25" t="s">
        <v>739</v>
      </c>
      <c r="M25" t="s">
        <v>888</v>
      </c>
    </row>
    <row r="26" spans="6:13">
      <c r="K26" t="s">
        <v>889</v>
      </c>
      <c r="L26" t="s">
        <v>890</v>
      </c>
      <c r="M26" t="s">
        <v>891</v>
      </c>
    </row>
    <row r="27" spans="6:13">
      <c r="K27" t="s">
        <v>892</v>
      </c>
      <c r="L27" t="s">
        <v>893</v>
      </c>
      <c r="M27" t="s">
        <v>894</v>
      </c>
    </row>
    <row r="28" spans="6:13">
      <c r="K28" t="s">
        <v>895</v>
      </c>
      <c r="L28" t="s">
        <v>896</v>
      </c>
      <c r="M28" t="s">
        <v>897</v>
      </c>
    </row>
    <row r="29" spans="6:13">
      <c r="K29" t="s">
        <v>898</v>
      </c>
      <c r="L29" t="s">
        <v>899</v>
      </c>
      <c r="M29" t="s">
        <v>900</v>
      </c>
    </row>
    <row r="30" spans="6:13">
      <c r="K30" t="s">
        <v>901</v>
      </c>
      <c r="L30" t="s">
        <v>902</v>
      </c>
      <c r="M30" t="s">
        <v>903</v>
      </c>
    </row>
    <row r="31" spans="6:13">
      <c r="K31" t="s">
        <v>904</v>
      </c>
      <c r="L31" t="s">
        <v>905</v>
      </c>
      <c r="M31" t="s">
        <v>906</v>
      </c>
    </row>
    <row r="32" spans="6:13">
      <c r="K32" t="s">
        <v>907</v>
      </c>
      <c r="L32" t="s">
        <v>908</v>
      </c>
      <c r="M32" t="s">
        <v>909</v>
      </c>
    </row>
    <row r="33" spans="11:13">
      <c r="K33" t="s">
        <v>910</v>
      </c>
      <c r="L33" t="s">
        <v>714</v>
      </c>
      <c r="M33" t="s">
        <v>911</v>
      </c>
    </row>
    <row r="34" spans="11:13">
      <c r="K34" t="s">
        <v>912</v>
      </c>
      <c r="L34" t="s">
        <v>913</v>
      </c>
      <c r="M34" t="s">
        <v>914</v>
      </c>
    </row>
    <row r="35" spans="11:13">
      <c r="K35" t="s">
        <v>915</v>
      </c>
      <c r="L35" t="s">
        <v>916</v>
      </c>
      <c r="M35" t="s">
        <v>917</v>
      </c>
    </row>
    <row r="36" spans="11:13">
      <c r="K36" t="s">
        <v>918</v>
      </c>
      <c r="L36" t="s">
        <v>919</v>
      </c>
      <c r="M36" t="s">
        <v>920</v>
      </c>
    </row>
    <row r="37" spans="11:13">
      <c r="K37" t="s">
        <v>921</v>
      </c>
      <c r="L37" t="s">
        <v>922</v>
      </c>
      <c r="M37" t="s">
        <v>766</v>
      </c>
    </row>
    <row r="38" spans="11:13">
      <c r="L38" t="s">
        <v>923</v>
      </c>
      <c r="M38" t="s">
        <v>924</v>
      </c>
    </row>
    <row r="39" spans="11:13">
      <c r="L39" t="s">
        <v>925</v>
      </c>
      <c r="M39" t="s">
        <v>926</v>
      </c>
    </row>
    <row r="40" spans="11:13">
      <c r="L40" t="s">
        <v>927</v>
      </c>
      <c r="M40" t="s">
        <v>730</v>
      </c>
    </row>
    <row r="41" spans="11:13">
      <c r="L41" t="s">
        <v>928</v>
      </c>
      <c r="M41" t="s">
        <v>755</v>
      </c>
    </row>
    <row r="42" spans="11:13">
      <c r="L42" t="s">
        <v>729</v>
      </c>
      <c r="M42" t="s">
        <v>743</v>
      </c>
    </row>
    <row r="43" spans="11:13">
      <c r="L43" t="s">
        <v>929</v>
      </c>
      <c r="M43" t="s">
        <v>930</v>
      </c>
    </row>
    <row r="44" spans="11:13">
      <c r="L44" t="s">
        <v>931</v>
      </c>
      <c r="M44" t="s">
        <v>932</v>
      </c>
    </row>
    <row r="45" spans="11:13">
      <c r="L45" t="s">
        <v>933</v>
      </c>
      <c r="M45" t="s">
        <v>934</v>
      </c>
    </row>
    <row r="46" spans="11:13">
      <c r="L46" t="s">
        <v>935</v>
      </c>
      <c r="M46" t="s">
        <v>936</v>
      </c>
    </row>
    <row r="47" spans="11:13">
      <c r="L47" t="s">
        <v>937</v>
      </c>
      <c r="M47" t="s">
        <v>938</v>
      </c>
    </row>
    <row r="48" spans="11:13">
      <c r="L48" t="s">
        <v>939</v>
      </c>
      <c r="M48" t="s">
        <v>940</v>
      </c>
    </row>
    <row r="49" spans="12:13">
      <c r="L49" t="s">
        <v>941</v>
      </c>
      <c r="M49" t="s">
        <v>942</v>
      </c>
    </row>
    <row r="50" spans="12:13">
      <c r="L50" t="s">
        <v>943</v>
      </c>
      <c r="M50" t="s">
        <v>944</v>
      </c>
    </row>
    <row r="51" spans="12:13">
      <c r="L51" t="s">
        <v>945</v>
      </c>
      <c r="M51" t="s">
        <v>946</v>
      </c>
    </row>
    <row r="52" spans="12:13">
      <c r="L52" t="s">
        <v>947</v>
      </c>
      <c r="M52" t="s">
        <v>35</v>
      </c>
    </row>
    <row r="53" spans="12:13">
      <c r="L53" t="s">
        <v>948</v>
      </c>
      <c r="M53" t="s">
        <v>949</v>
      </c>
    </row>
    <row r="54" spans="12:13">
      <c r="L54" t="s">
        <v>704</v>
      </c>
      <c r="M54" t="s">
        <v>950</v>
      </c>
    </row>
    <row r="55" spans="12:13">
      <c r="L55" t="s">
        <v>951</v>
      </c>
      <c r="M55" t="s">
        <v>756</v>
      </c>
    </row>
    <row r="56" spans="12:13">
      <c r="L56" t="s">
        <v>952</v>
      </c>
      <c r="M56" t="s">
        <v>857</v>
      </c>
    </row>
    <row r="57" spans="12:13">
      <c r="L57" t="s">
        <v>953</v>
      </c>
      <c r="M57" t="s">
        <v>954</v>
      </c>
    </row>
    <row r="58" spans="12:13">
      <c r="L58" t="s">
        <v>955</v>
      </c>
      <c r="M58" t="s">
        <v>37</v>
      </c>
    </row>
    <row r="59" spans="12:13">
      <c r="L59" t="s">
        <v>708</v>
      </c>
      <c r="M59" t="s">
        <v>956</v>
      </c>
    </row>
    <row r="60" spans="12:13">
      <c r="L60" t="s">
        <v>957</v>
      </c>
      <c r="M60" t="s">
        <v>726</v>
      </c>
    </row>
    <row r="61" spans="12:13">
      <c r="L61" t="s">
        <v>958</v>
      </c>
      <c r="M61" t="s">
        <v>959</v>
      </c>
    </row>
    <row r="62" spans="12:13">
      <c r="L62" t="s">
        <v>960</v>
      </c>
      <c r="M62" t="s">
        <v>961</v>
      </c>
    </row>
    <row r="63" spans="12:13">
      <c r="L63" t="s">
        <v>723</v>
      </c>
      <c r="M63" t="s">
        <v>962</v>
      </c>
    </row>
    <row r="64" spans="12:13">
      <c r="L64" t="s">
        <v>963</v>
      </c>
      <c r="M64" t="s">
        <v>964</v>
      </c>
    </row>
    <row r="65" spans="12:13">
      <c r="L65" t="s">
        <v>965</v>
      </c>
      <c r="M65" t="s">
        <v>966</v>
      </c>
    </row>
    <row r="66" spans="12:13">
      <c r="L66" t="s">
        <v>967</v>
      </c>
      <c r="M66" t="s">
        <v>968</v>
      </c>
    </row>
    <row r="67" spans="12:13">
      <c r="L67" t="s">
        <v>969</v>
      </c>
      <c r="M67" t="s">
        <v>970</v>
      </c>
    </row>
    <row r="68" spans="12:13">
      <c r="L68" t="s">
        <v>971</v>
      </c>
      <c r="M68" t="s">
        <v>972</v>
      </c>
    </row>
    <row r="69" spans="12:13">
      <c r="L69" t="s">
        <v>973</v>
      </c>
      <c r="M69" t="s">
        <v>974</v>
      </c>
    </row>
    <row r="70" spans="12:13">
      <c r="L70" t="s">
        <v>975</v>
      </c>
      <c r="M70" t="s">
        <v>976</v>
      </c>
    </row>
    <row r="71" spans="12:13">
      <c r="L71" t="s">
        <v>977</v>
      </c>
      <c r="M71" t="s">
        <v>978</v>
      </c>
    </row>
    <row r="72" spans="12:13">
      <c r="L72" t="s">
        <v>979</v>
      </c>
      <c r="M72" t="s">
        <v>980</v>
      </c>
    </row>
    <row r="73" spans="12:13">
      <c r="L73" t="s">
        <v>981</v>
      </c>
      <c r="M73" t="s">
        <v>982</v>
      </c>
    </row>
    <row r="74" spans="12:13">
      <c r="L74" t="s">
        <v>983</v>
      </c>
      <c r="M74" t="s">
        <v>984</v>
      </c>
    </row>
    <row r="75" spans="12:13">
      <c r="L75" t="s">
        <v>985</v>
      </c>
      <c r="M75" t="s">
        <v>986</v>
      </c>
    </row>
    <row r="76" spans="12:13">
      <c r="L76" t="s">
        <v>987</v>
      </c>
      <c r="M76" t="s">
        <v>707</v>
      </c>
    </row>
    <row r="77" spans="12:13">
      <c r="L77" t="s">
        <v>988</v>
      </c>
      <c r="M77" t="s">
        <v>989</v>
      </c>
    </row>
    <row r="78" spans="12:13">
      <c r="L78" t="s">
        <v>736</v>
      </c>
      <c r="M78" t="s">
        <v>990</v>
      </c>
    </row>
    <row r="79" spans="12:13">
      <c r="L79" t="s">
        <v>991</v>
      </c>
      <c r="M79" t="s">
        <v>992</v>
      </c>
    </row>
    <row r="80" spans="12:13">
      <c r="L80" t="s">
        <v>993</v>
      </c>
      <c r="M80" t="s">
        <v>994</v>
      </c>
    </row>
    <row r="81" spans="12:13">
      <c r="L81" t="s">
        <v>995</v>
      </c>
      <c r="M81" t="s">
        <v>996</v>
      </c>
    </row>
    <row r="82" spans="12:13">
      <c r="L82" t="s">
        <v>997</v>
      </c>
      <c r="M82" t="s">
        <v>998</v>
      </c>
    </row>
    <row r="83" spans="12:13">
      <c r="L83" t="s">
        <v>999</v>
      </c>
      <c r="M83" t="s">
        <v>1000</v>
      </c>
    </row>
    <row r="84" spans="12:13">
      <c r="L84" t="s">
        <v>1001</v>
      </c>
      <c r="M84" t="s">
        <v>1002</v>
      </c>
    </row>
    <row r="85" spans="12:13">
      <c r="L85" t="s">
        <v>1003</v>
      </c>
      <c r="M85" t="s">
        <v>1004</v>
      </c>
    </row>
    <row r="86" spans="12:13">
      <c r="L86" t="s">
        <v>1005</v>
      </c>
      <c r="M86" t="s">
        <v>1006</v>
      </c>
    </row>
    <row r="87" spans="12:13">
      <c r="L87" t="s">
        <v>1007</v>
      </c>
      <c r="M87" t="s">
        <v>729</v>
      </c>
    </row>
    <row r="88" spans="12:13">
      <c r="L88" t="s">
        <v>1008</v>
      </c>
      <c r="M88" t="s">
        <v>1009</v>
      </c>
    </row>
    <row r="89" spans="12:13">
      <c r="L89" t="s">
        <v>1010</v>
      </c>
      <c r="M89" t="s">
        <v>728</v>
      </c>
    </row>
    <row r="90" spans="12:13">
      <c r="L90" t="s">
        <v>1011</v>
      </c>
      <c r="M90" t="s">
        <v>761</v>
      </c>
    </row>
    <row r="91" spans="12:13">
      <c r="L91" t="s">
        <v>1012</v>
      </c>
      <c r="M91" t="s">
        <v>1013</v>
      </c>
    </row>
    <row r="92" spans="12:13">
      <c r="L92" t="s">
        <v>1014</v>
      </c>
      <c r="M92" t="s">
        <v>1015</v>
      </c>
    </row>
    <row r="93" spans="12:13">
      <c r="L93" t="s">
        <v>1016</v>
      </c>
      <c r="M93" t="s">
        <v>1017</v>
      </c>
    </row>
    <row r="94" spans="12:13">
      <c r="L94" t="s">
        <v>1018</v>
      </c>
      <c r="M94" t="s">
        <v>1019</v>
      </c>
    </row>
    <row r="95" spans="12:13">
      <c r="L95" t="s">
        <v>1020</v>
      </c>
      <c r="M95" t="s">
        <v>1021</v>
      </c>
    </row>
    <row r="96" spans="12:13">
      <c r="L96" t="s">
        <v>1022</v>
      </c>
      <c r="M96" t="s">
        <v>1023</v>
      </c>
    </row>
    <row r="97" spans="12:13">
      <c r="L97" t="s">
        <v>1024</v>
      </c>
      <c r="M97" t="s">
        <v>1025</v>
      </c>
    </row>
    <row r="98" spans="12:13">
      <c r="L98" t="s">
        <v>1026</v>
      </c>
      <c r="M98" t="s">
        <v>1027</v>
      </c>
    </row>
    <row r="99" spans="12:13">
      <c r="L99" t="s">
        <v>1028</v>
      </c>
      <c r="M99" t="s">
        <v>1029</v>
      </c>
    </row>
    <row r="100" spans="12:13">
      <c r="L100" t="s">
        <v>1030</v>
      </c>
      <c r="M100" t="s">
        <v>1031</v>
      </c>
    </row>
    <row r="101" spans="12:13">
      <c r="L101" t="s">
        <v>1032</v>
      </c>
      <c r="M101" t="s">
        <v>1033</v>
      </c>
    </row>
    <row r="102" spans="12:13">
      <c r="L102" t="s">
        <v>1034</v>
      </c>
      <c r="M102" t="s">
        <v>1035</v>
      </c>
    </row>
    <row r="103" spans="12:13">
      <c r="L103" t="s">
        <v>721</v>
      </c>
      <c r="M103" t="s">
        <v>1036</v>
      </c>
    </row>
    <row r="104" spans="12:13">
      <c r="L104" t="s">
        <v>763</v>
      </c>
      <c r="M104" t="s">
        <v>1037</v>
      </c>
    </row>
    <row r="105" spans="12:13">
      <c r="L105" t="s">
        <v>1038</v>
      </c>
      <c r="M105" t="s">
        <v>1039</v>
      </c>
    </row>
    <row r="106" spans="12:13">
      <c r="L106" t="s">
        <v>1040</v>
      </c>
      <c r="M106" t="s">
        <v>1041</v>
      </c>
    </row>
    <row r="107" spans="12:13">
      <c r="L107" t="s">
        <v>1042</v>
      </c>
      <c r="M107" t="s">
        <v>1043</v>
      </c>
    </row>
    <row r="108" spans="12:13">
      <c r="L108" t="s">
        <v>1044</v>
      </c>
      <c r="M108" t="s">
        <v>1045</v>
      </c>
    </row>
    <row r="109" spans="12:13">
      <c r="L109" t="s">
        <v>719</v>
      </c>
      <c r="M109" t="s">
        <v>1046</v>
      </c>
    </row>
    <row r="110" spans="12:13">
      <c r="L110" t="s">
        <v>1047</v>
      </c>
      <c r="M110" t="s">
        <v>1048</v>
      </c>
    </row>
    <row r="111" spans="12:13">
      <c r="L111" t="s">
        <v>1049</v>
      </c>
      <c r="M111" t="s">
        <v>1050</v>
      </c>
    </row>
    <row r="112" spans="12:13">
      <c r="L112" t="s">
        <v>1051</v>
      </c>
      <c r="M112" t="s">
        <v>1052</v>
      </c>
    </row>
    <row r="113" spans="12:13">
      <c r="L113" t="s">
        <v>1053</v>
      </c>
      <c r="M113" t="s">
        <v>1054</v>
      </c>
    </row>
    <row r="114" spans="12:13">
      <c r="L114" t="s">
        <v>1055</v>
      </c>
      <c r="M114" t="s">
        <v>1056</v>
      </c>
    </row>
    <row r="115" spans="12:13">
      <c r="M115" t="s">
        <v>1057</v>
      </c>
    </row>
    <row r="116" spans="12:13">
      <c r="M116" t="s">
        <v>1058</v>
      </c>
    </row>
    <row r="117" spans="12:13">
      <c r="M117" t="s">
        <v>1059</v>
      </c>
    </row>
    <row r="118" spans="12:13">
      <c r="M118" t="s">
        <v>1060</v>
      </c>
    </row>
    <row r="119" spans="12:13">
      <c r="M119" t="s">
        <v>1061</v>
      </c>
    </row>
    <row r="120" spans="12:13">
      <c r="M120" t="s">
        <v>1062</v>
      </c>
    </row>
    <row r="121" spans="12:13">
      <c r="M121" t="s">
        <v>1063</v>
      </c>
    </row>
    <row r="122" spans="12:13">
      <c r="M122" t="s">
        <v>713</v>
      </c>
    </row>
    <row r="123" spans="12:13">
      <c r="M123" t="s">
        <v>720</v>
      </c>
    </row>
    <row r="124" spans="12:13">
      <c r="M124" t="s">
        <v>1064</v>
      </c>
    </row>
    <row r="125" spans="12:13">
      <c r="M125" t="s">
        <v>715</v>
      </c>
    </row>
    <row r="126" spans="12:13">
      <c r="M126" t="s">
        <v>1065</v>
      </c>
    </row>
    <row r="127" spans="12:13">
      <c r="M127" t="s">
        <v>1066</v>
      </c>
    </row>
    <row r="128" spans="12:13">
      <c r="M128" t="s">
        <v>1067</v>
      </c>
    </row>
    <row r="129" spans="13:13">
      <c r="M129" t="s">
        <v>1068</v>
      </c>
    </row>
    <row r="130" spans="13:13">
      <c r="M130" t="s">
        <v>1069</v>
      </c>
    </row>
    <row r="131" spans="13:13">
      <c r="M131" t="s">
        <v>1070</v>
      </c>
    </row>
    <row r="132" spans="13:13">
      <c r="M132" t="s">
        <v>1071</v>
      </c>
    </row>
    <row r="133" spans="13:13">
      <c r="M133" t="s">
        <v>1072</v>
      </c>
    </row>
    <row r="134" spans="13:13">
      <c r="M134" t="s">
        <v>1073</v>
      </c>
    </row>
    <row r="135" spans="13:13">
      <c r="M135" t="s">
        <v>1074</v>
      </c>
    </row>
    <row r="136" spans="13:13">
      <c r="M136" t="s">
        <v>1075</v>
      </c>
    </row>
    <row r="137" spans="13:13">
      <c r="M137" t="s">
        <v>1076</v>
      </c>
    </row>
    <row r="138" spans="13:13">
      <c r="M138" t="s">
        <v>1077</v>
      </c>
    </row>
    <row r="139" spans="13:13">
      <c r="M139" t="s">
        <v>709</v>
      </c>
    </row>
    <row r="140" spans="13:13">
      <c r="M140" t="s">
        <v>1078</v>
      </c>
    </row>
    <row r="141" spans="13:13">
      <c r="M141" t="s">
        <v>1079</v>
      </c>
    </row>
    <row r="142" spans="13:13">
      <c r="M142" t="s">
        <v>1080</v>
      </c>
    </row>
    <row r="143" spans="13:13">
      <c r="M143" t="s">
        <v>1081</v>
      </c>
    </row>
    <row r="144" spans="13:13">
      <c r="M144" t="s">
        <v>1082</v>
      </c>
    </row>
    <row r="145" spans="13:13">
      <c r="M145" t="s">
        <v>1083</v>
      </c>
    </row>
    <row r="146" spans="13:13">
      <c r="M146" t="s">
        <v>1084</v>
      </c>
    </row>
    <row r="147" spans="13:13">
      <c r="M147" t="s">
        <v>1085</v>
      </c>
    </row>
    <row r="148" spans="13:13">
      <c r="M148" t="s">
        <v>1086</v>
      </c>
    </row>
    <row r="149" spans="13:13">
      <c r="M149" t="s">
        <v>1087</v>
      </c>
    </row>
    <row r="150" spans="13:13">
      <c r="M150" t="s">
        <v>1088</v>
      </c>
    </row>
    <row r="151" spans="13:13">
      <c r="M151" t="s">
        <v>1089</v>
      </c>
    </row>
    <row r="152" spans="13:13">
      <c r="M152" t="s">
        <v>1090</v>
      </c>
    </row>
    <row r="153" spans="13:13">
      <c r="M153" t="s">
        <v>1091</v>
      </c>
    </row>
    <row r="154" spans="13:13">
      <c r="M154" t="s">
        <v>1092</v>
      </c>
    </row>
    <row r="155" spans="13:13">
      <c r="M155" t="s">
        <v>1093</v>
      </c>
    </row>
    <row r="156" spans="13:13">
      <c r="M156" t="s">
        <v>1094</v>
      </c>
    </row>
    <row r="157" spans="13:13">
      <c r="M157" t="s">
        <v>762</v>
      </c>
    </row>
    <row r="158" spans="13:13">
      <c r="M158" t="s">
        <v>1095</v>
      </c>
    </row>
    <row r="159" spans="13:13">
      <c r="M159" t="s">
        <v>1096</v>
      </c>
    </row>
    <row r="160" spans="13:13">
      <c r="M160" t="s">
        <v>1097</v>
      </c>
    </row>
    <row r="161" spans="13:13">
      <c r="M161" t="s">
        <v>735</v>
      </c>
    </row>
    <row r="162" spans="13:13">
      <c r="M162" t="s">
        <v>718</v>
      </c>
    </row>
    <row r="163" spans="13:13">
      <c r="M163" t="s">
        <v>1098</v>
      </c>
    </row>
    <row r="164" spans="13:13">
      <c r="M164" t="s">
        <v>1099</v>
      </c>
    </row>
    <row r="165" spans="13:13">
      <c r="M165" t="s">
        <v>1100</v>
      </c>
    </row>
    <row r="166" spans="13:13">
      <c r="M166" t="s">
        <v>1101</v>
      </c>
    </row>
    <row r="167" spans="13:13">
      <c r="M167" t="s">
        <v>1102</v>
      </c>
    </row>
    <row r="168" spans="13:13">
      <c r="M168" t="s">
        <v>1103</v>
      </c>
    </row>
    <row r="169" spans="13:13">
      <c r="M169" t="s">
        <v>1104</v>
      </c>
    </row>
    <row r="170" spans="13:13">
      <c r="M170" t="s">
        <v>1105</v>
      </c>
    </row>
    <row r="171" spans="13:13">
      <c r="M171" t="s">
        <v>1106</v>
      </c>
    </row>
    <row r="172" spans="13:13">
      <c r="M172" t="s">
        <v>1107</v>
      </c>
    </row>
    <row r="173" spans="13:13">
      <c r="M173" t="s">
        <v>1108</v>
      </c>
    </row>
    <row r="174" spans="13:13">
      <c r="M174" t="s">
        <v>1109</v>
      </c>
    </row>
    <row r="175" spans="13:13">
      <c r="M175" t="s">
        <v>1110</v>
      </c>
    </row>
    <row r="176" spans="13:13">
      <c r="M176" t="s">
        <v>1111</v>
      </c>
    </row>
    <row r="177" spans="13:13">
      <c r="M177" t="s">
        <v>1112</v>
      </c>
    </row>
    <row r="178" spans="13:13">
      <c r="M178" t="s">
        <v>1113</v>
      </c>
    </row>
    <row r="179" spans="13:13">
      <c r="M179" t="s">
        <v>1114</v>
      </c>
    </row>
    <row r="180" spans="13:13">
      <c r="M180" t="s">
        <v>1115</v>
      </c>
    </row>
    <row r="181" spans="13:13">
      <c r="M181" t="s">
        <v>1116</v>
      </c>
    </row>
    <row r="182" spans="13:13">
      <c r="M182" t="s">
        <v>1117</v>
      </c>
    </row>
    <row r="183" spans="13:13">
      <c r="M183" t="s">
        <v>1118</v>
      </c>
    </row>
    <row r="184" spans="13:13">
      <c r="M184" t="s">
        <v>758</v>
      </c>
    </row>
    <row r="185" spans="13:13">
      <c r="M185" t="s">
        <v>722</v>
      </c>
    </row>
    <row r="186" spans="13:13">
      <c r="M186" t="s">
        <v>1119</v>
      </c>
    </row>
    <row r="187" spans="13:13">
      <c r="M187" t="s">
        <v>1120</v>
      </c>
    </row>
    <row r="188" spans="13:13">
      <c r="M188" t="s">
        <v>1121</v>
      </c>
    </row>
    <row r="189" spans="13:13">
      <c r="M189" t="s">
        <v>1122</v>
      </c>
    </row>
    <row r="190" spans="13:13">
      <c r="M190" t="s">
        <v>1123</v>
      </c>
    </row>
    <row r="191" spans="13:13">
      <c r="M191" t="s">
        <v>1124</v>
      </c>
    </row>
    <row r="192" spans="13:13">
      <c r="M192" t="s">
        <v>1125</v>
      </c>
    </row>
    <row r="193" spans="13:13">
      <c r="M193" t="s">
        <v>1126</v>
      </c>
    </row>
    <row r="194" spans="13:13">
      <c r="M194" t="s">
        <v>1127</v>
      </c>
    </row>
    <row r="195" spans="13:13">
      <c r="M195" t="s">
        <v>1128</v>
      </c>
    </row>
    <row r="196" spans="13:13">
      <c r="M196" t="s">
        <v>1129</v>
      </c>
    </row>
    <row r="197" spans="13:13">
      <c r="M197" t="s">
        <v>703</v>
      </c>
    </row>
    <row r="198" spans="13:13">
      <c r="M198" t="s">
        <v>1130</v>
      </c>
    </row>
    <row r="199" spans="13:13">
      <c r="M199" t="s">
        <v>1131</v>
      </c>
    </row>
    <row r="200" spans="13:13">
      <c r="M200" t="s">
        <v>705</v>
      </c>
    </row>
    <row r="201" spans="13:13">
      <c r="M201" t="s">
        <v>1132</v>
      </c>
    </row>
    <row r="202" spans="13:13">
      <c r="M202" t="s">
        <v>1133</v>
      </c>
    </row>
    <row r="203" spans="13:13">
      <c r="M203" t="s">
        <v>1134</v>
      </c>
    </row>
    <row r="204" spans="13:13">
      <c r="M204" t="s">
        <v>1135</v>
      </c>
    </row>
    <row r="205" spans="13:13">
      <c r="M205" t="s">
        <v>1136</v>
      </c>
    </row>
    <row r="206" spans="13:13">
      <c r="M206" t="s">
        <v>1137</v>
      </c>
    </row>
    <row r="207" spans="13:13">
      <c r="M207" t="s">
        <v>1138</v>
      </c>
    </row>
    <row r="208" spans="13:13">
      <c r="M208" t="s">
        <v>1139</v>
      </c>
    </row>
    <row r="209" spans="13:13">
      <c r="M209" t="s">
        <v>1140</v>
      </c>
    </row>
    <row r="210" spans="13:13">
      <c r="M210" t="s">
        <v>1141</v>
      </c>
    </row>
    <row r="211" spans="13:13">
      <c r="M211" t="s">
        <v>1142</v>
      </c>
    </row>
    <row r="212" spans="13:13">
      <c r="M212" t="s">
        <v>1143</v>
      </c>
    </row>
    <row r="213" spans="13:13">
      <c r="M213" t="s">
        <v>1144</v>
      </c>
    </row>
    <row r="214" spans="13:13">
      <c r="M214" t="s">
        <v>1145</v>
      </c>
    </row>
    <row r="215" spans="13:13">
      <c r="M215" t="s">
        <v>1146</v>
      </c>
    </row>
    <row r="216" spans="13:13">
      <c r="M216" t="s">
        <v>1147</v>
      </c>
    </row>
    <row r="217" spans="13:13">
      <c r="M217" t="s">
        <v>1148</v>
      </c>
    </row>
    <row r="218" spans="13:13">
      <c r="M218" t="s">
        <v>717</v>
      </c>
    </row>
    <row r="219" spans="13:13">
      <c r="M219" t="s">
        <v>1149</v>
      </c>
    </row>
    <row r="220" spans="13:13">
      <c r="M220" t="s">
        <v>1150</v>
      </c>
    </row>
    <row r="221" spans="13:13">
      <c r="M221" t="s">
        <v>1151</v>
      </c>
    </row>
    <row r="222" spans="13:13">
      <c r="M222" t="s">
        <v>1152</v>
      </c>
    </row>
    <row r="223" spans="13:13">
      <c r="M223" t="s">
        <v>1153</v>
      </c>
    </row>
    <row r="224" spans="13:13">
      <c r="M224" t="s">
        <v>1154</v>
      </c>
    </row>
    <row r="225" spans="13:13">
      <c r="M225" t="s">
        <v>1155</v>
      </c>
    </row>
    <row r="226" spans="13:13">
      <c r="M226" t="s">
        <v>1156</v>
      </c>
    </row>
    <row r="227" spans="13:13">
      <c r="M227" t="s">
        <v>1157</v>
      </c>
    </row>
    <row r="228" spans="13:13">
      <c r="M228" t="s">
        <v>1158</v>
      </c>
    </row>
    <row r="229" spans="13:13">
      <c r="M229" t="s">
        <v>1159</v>
      </c>
    </row>
    <row r="230" spans="13:13">
      <c r="M230" t="s">
        <v>1160</v>
      </c>
    </row>
    <row r="231" spans="13:13">
      <c r="M231" t="s">
        <v>1161</v>
      </c>
    </row>
    <row r="232" spans="13:13">
      <c r="M232" t="s">
        <v>1162</v>
      </c>
    </row>
    <row r="233" spans="13:13">
      <c r="M233" t="s">
        <v>1163</v>
      </c>
    </row>
    <row r="234" spans="13:13">
      <c r="M234" t="s">
        <v>1164</v>
      </c>
    </row>
    <row r="235" spans="13:13">
      <c r="M235" t="s">
        <v>1165</v>
      </c>
    </row>
    <row r="236" spans="13:13">
      <c r="M236" t="s">
        <v>1166</v>
      </c>
    </row>
    <row r="237" spans="13:13">
      <c r="M237" t="s">
        <v>1167</v>
      </c>
    </row>
    <row r="238" spans="13:13">
      <c r="M238" t="s">
        <v>1168</v>
      </c>
    </row>
    <row r="239" spans="13:13">
      <c r="M239" t="s">
        <v>1169</v>
      </c>
    </row>
    <row r="240" spans="13:13">
      <c r="M240" t="s">
        <v>1170</v>
      </c>
    </row>
    <row r="241" spans="13:13">
      <c r="M241" t="s">
        <v>1171</v>
      </c>
    </row>
    <row r="242" spans="13:13">
      <c r="M242" t="s">
        <v>1172</v>
      </c>
    </row>
    <row r="243" spans="13:13">
      <c r="M243" t="s">
        <v>1173</v>
      </c>
    </row>
    <row r="244" spans="13:13">
      <c r="M244" t="s">
        <v>1174</v>
      </c>
    </row>
    <row r="245" spans="13:13">
      <c r="M245" t="s">
        <v>1175</v>
      </c>
    </row>
    <row r="246" spans="13:13">
      <c r="M246" t="s">
        <v>1176</v>
      </c>
    </row>
    <row r="247" spans="13:13">
      <c r="M247" t="s">
        <v>1177</v>
      </c>
    </row>
    <row r="248" spans="13:13">
      <c r="M248" t="s">
        <v>1178</v>
      </c>
    </row>
    <row r="249" spans="13:13">
      <c r="M249" t="s">
        <v>1179</v>
      </c>
    </row>
    <row r="250" spans="13:13">
      <c r="M250" t="s">
        <v>1180</v>
      </c>
    </row>
    <row r="251" spans="13:13">
      <c r="M251" t="s">
        <v>1181</v>
      </c>
    </row>
    <row r="252" spans="13:13">
      <c r="M252" t="s">
        <v>1182</v>
      </c>
    </row>
    <row r="253" spans="13:13">
      <c r="M253" t="s">
        <v>1183</v>
      </c>
    </row>
    <row r="254" spans="13:13">
      <c r="M254" t="s">
        <v>1184</v>
      </c>
    </row>
    <row r="255" spans="13:13">
      <c r="M255" t="s">
        <v>1185</v>
      </c>
    </row>
    <row r="256" spans="13:13">
      <c r="M256" t="s">
        <v>1186</v>
      </c>
    </row>
    <row r="257" spans="13:13">
      <c r="M257" t="s">
        <v>1187</v>
      </c>
    </row>
    <row r="258" spans="13:13">
      <c r="M258" t="s">
        <v>1188</v>
      </c>
    </row>
    <row r="259" spans="13:13">
      <c r="M259" t="s">
        <v>1189</v>
      </c>
    </row>
    <row r="260" spans="13:13">
      <c r="M260" t="s">
        <v>1190</v>
      </c>
    </row>
    <row r="261" spans="13:13">
      <c r="M261" t="s">
        <v>1191</v>
      </c>
    </row>
    <row r="262" spans="13:13">
      <c r="M262" t="s">
        <v>1192</v>
      </c>
    </row>
    <row r="263" spans="13:13">
      <c r="M263" t="s">
        <v>1193</v>
      </c>
    </row>
    <row r="264" spans="13:13">
      <c r="M264" t="s">
        <v>1194</v>
      </c>
    </row>
    <row r="265" spans="13:13">
      <c r="M265" t="s">
        <v>1195</v>
      </c>
    </row>
    <row r="266" spans="13:13">
      <c r="M266" t="s">
        <v>1196</v>
      </c>
    </row>
    <row r="267" spans="13:13">
      <c r="M267" t="s">
        <v>1197</v>
      </c>
    </row>
    <row r="268" spans="13:13">
      <c r="M268" t="s">
        <v>1198</v>
      </c>
    </row>
    <row r="269" spans="13:13">
      <c r="M269" t="s">
        <v>1199</v>
      </c>
    </row>
    <row r="270" spans="13:13">
      <c r="M270" t="s">
        <v>1200</v>
      </c>
    </row>
    <row r="271" spans="13:13">
      <c r="M271" t="s">
        <v>1201</v>
      </c>
    </row>
    <row r="272" spans="13:13">
      <c r="M272" t="s">
        <v>1202</v>
      </c>
    </row>
    <row r="273" spans="13:13">
      <c r="M273" t="s">
        <v>1203</v>
      </c>
    </row>
    <row r="274" spans="13:13">
      <c r="M274" t="s">
        <v>1204</v>
      </c>
    </row>
    <row r="275" spans="13:13">
      <c r="M275" t="s">
        <v>1205</v>
      </c>
    </row>
    <row r="276" spans="13:13">
      <c r="M276" t="s">
        <v>1206</v>
      </c>
    </row>
    <row r="277" spans="13:13">
      <c r="M277" t="s">
        <v>1207</v>
      </c>
    </row>
    <row r="278" spans="13:13">
      <c r="M278" t="s">
        <v>1208</v>
      </c>
    </row>
    <row r="279" spans="13:13">
      <c r="M279" t="s">
        <v>1209</v>
      </c>
    </row>
    <row r="280" spans="13:13">
      <c r="M280" t="s">
        <v>1210</v>
      </c>
    </row>
    <row r="281" spans="13:13">
      <c r="M281" t="s">
        <v>1211</v>
      </c>
    </row>
    <row r="282" spans="13:13">
      <c r="M282" t="s">
        <v>1212</v>
      </c>
    </row>
    <row r="283" spans="13:13">
      <c r="M283" t="s">
        <v>1213</v>
      </c>
    </row>
    <row r="284" spans="13:13">
      <c r="M284" t="s">
        <v>1214</v>
      </c>
    </row>
    <row r="285" spans="13:13">
      <c r="M285" t="s">
        <v>1215</v>
      </c>
    </row>
    <row r="286" spans="13:13">
      <c r="M286" t="s">
        <v>1216</v>
      </c>
    </row>
    <row r="287" spans="13:13">
      <c r="M287" t="s">
        <v>1217</v>
      </c>
    </row>
    <row r="288" spans="13:13">
      <c r="M288" t="s">
        <v>1218</v>
      </c>
    </row>
    <row r="289" spans="13:13">
      <c r="M289" t="s">
        <v>1219</v>
      </c>
    </row>
    <row r="290" spans="13:13">
      <c r="M290" t="s">
        <v>1220</v>
      </c>
    </row>
    <row r="291" spans="13:13">
      <c r="M291" t="s">
        <v>1221</v>
      </c>
    </row>
    <row r="292" spans="13:13">
      <c r="M292" t="s">
        <v>1222</v>
      </c>
    </row>
    <row r="293" spans="13:13">
      <c r="M293" t="s">
        <v>1223</v>
      </c>
    </row>
    <row r="294" spans="13:13">
      <c r="M294" t="s">
        <v>1224</v>
      </c>
    </row>
    <row r="295" spans="13:13">
      <c r="M295" t="s">
        <v>1225</v>
      </c>
    </row>
    <row r="296" spans="13:13">
      <c r="M296" t="s">
        <v>1226</v>
      </c>
    </row>
    <row r="297" spans="13:13">
      <c r="M297" t="s">
        <v>1227</v>
      </c>
    </row>
    <row r="298" spans="13:13">
      <c r="M298" t="s">
        <v>1228</v>
      </c>
    </row>
    <row r="299" spans="13:13">
      <c r="M299" t="s">
        <v>1229</v>
      </c>
    </row>
    <row r="300" spans="13:13">
      <c r="M300" t="s">
        <v>1230</v>
      </c>
    </row>
    <row r="301" spans="13:13">
      <c r="M301" t="s">
        <v>1231</v>
      </c>
    </row>
    <row r="302" spans="13:13">
      <c r="M302" t="s">
        <v>1232</v>
      </c>
    </row>
    <row r="303" spans="13:13">
      <c r="M303" t="s">
        <v>1233</v>
      </c>
    </row>
    <row r="304" spans="13:13">
      <c r="M304" t="s">
        <v>1234</v>
      </c>
    </row>
    <row r="305" spans="13:13">
      <c r="M305" t="s">
        <v>1235</v>
      </c>
    </row>
    <row r="306" spans="13:13">
      <c r="M306" t="s">
        <v>1236</v>
      </c>
    </row>
    <row r="307" spans="13:13">
      <c r="M307" t="s">
        <v>1237</v>
      </c>
    </row>
    <row r="308" spans="13:13">
      <c r="M308" t="s">
        <v>1238</v>
      </c>
    </row>
    <row r="309" spans="13:13">
      <c r="M309" t="s">
        <v>1239</v>
      </c>
    </row>
    <row r="310" spans="13:13">
      <c r="M310" t="s">
        <v>1240</v>
      </c>
    </row>
    <row r="311" spans="13:13">
      <c r="M311" t="s">
        <v>1241</v>
      </c>
    </row>
    <row r="312" spans="13:13">
      <c r="M312" t="s">
        <v>1242</v>
      </c>
    </row>
    <row r="313" spans="13:13">
      <c r="M313" t="s">
        <v>1243</v>
      </c>
    </row>
    <row r="314" spans="13:13">
      <c r="M314" t="s">
        <v>1244</v>
      </c>
    </row>
    <row r="315" spans="13:13">
      <c r="M315" t="s">
        <v>1245</v>
      </c>
    </row>
    <row r="316" spans="13:13">
      <c r="M316" t="s">
        <v>1246</v>
      </c>
    </row>
    <row r="317" spans="13:13">
      <c r="M317" t="s">
        <v>1247</v>
      </c>
    </row>
    <row r="318" spans="13:13">
      <c r="M318" t="s">
        <v>1248</v>
      </c>
    </row>
    <row r="319" spans="13:13">
      <c r="M319" t="s">
        <v>1249</v>
      </c>
    </row>
    <row r="320" spans="13:13">
      <c r="M320" t="s">
        <v>1250</v>
      </c>
    </row>
    <row r="321" spans="13:13">
      <c r="M321" t="s">
        <v>1251</v>
      </c>
    </row>
    <row r="322" spans="13:13">
      <c r="M322" t="s">
        <v>1252</v>
      </c>
    </row>
    <row r="323" spans="13:13">
      <c r="M323" t="s">
        <v>1253</v>
      </c>
    </row>
    <row r="324" spans="13:13">
      <c r="M324" t="s">
        <v>1254</v>
      </c>
    </row>
    <row r="325" spans="13:13">
      <c r="M325" t="s">
        <v>1255</v>
      </c>
    </row>
    <row r="326" spans="13:13">
      <c r="M326" t="s">
        <v>1256</v>
      </c>
    </row>
    <row r="327" spans="13:13">
      <c r="M327" t="s">
        <v>1257</v>
      </c>
    </row>
    <row r="328" spans="13:13">
      <c r="M328" t="s">
        <v>1258</v>
      </c>
    </row>
    <row r="329" spans="13:13">
      <c r="M329" t="s">
        <v>1259</v>
      </c>
    </row>
    <row r="330" spans="13:13">
      <c r="M330" t="s">
        <v>1260</v>
      </c>
    </row>
    <row r="331" spans="13:13">
      <c r="M331" t="s">
        <v>1261</v>
      </c>
    </row>
    <row r="332" spans="13:13">
      <c r="M332" t="s">
        <v>1262</v>
      </c>
    </row>
    <row r="333" spans="13:13">
      <c r="M333" t="s">
        <v>1263</v>
      </c>
    </row>
    <row r="334" spans="13:13">
      <c r="M334" t="s">
        <v>1264</v>
      </c>
    </row>
    <row r="335" spans="13:13">
      <c r="M335" t="s">
        <v>1265</v>
      </c>
    </row>
    <row r="336" spans="13:13">
      <c r="M336" t="s">
        <v>1266</v>
      </c>
    </row>
    <row r="337" spans="13:13">
      <c r="M337" t="s">
        <v>1267</v>
      </c>
    </row>
    <row r="338" spans="13:13">
      <c r="M338" t="s">
        <v>1268</v>
      </c>
    </row>
    <row r="339" spans="13:13">
      <c r="M339" t="s">
        <v>1269</v>
      </c>
    </row>
    <row r="340" spans="13:13">
      <c r="M340" t="s">
        <v>1270</v>
      </c>
    </row>
    <row r="341" spans="13:13">
      <c r="M341" t="s">
        <v>1271</v>
      </c>
    </row>
    <row r="342" spans="13:13">
      <c r="M342" t="s">
        <v>1272</v>
      </c>
    </row>
    <row r="343" spans="13:13">
      <c r="M343" t="s">
        <v>1273</v>
      </c>
    </row>
    <row r="344" spans="13:13">
      <c r="M344" t="s">
        <v>1274</v>
      </c>
    </row>
    <row r="345" spans="13:13">
      <c r="M345" t="s">
        <v>1275</v>
      </c>
    </row>
    <row r="346" spans="13:13">
      <c r="M346" t="s">
        <v>1276</v>
      </c>
    </row>
    <row r="347" spans="13:13">
      <c r="M347" t="s">
        <v>1277</v>
      </c>
    </row>
    <row r="348" spans="13:13">
      <c r="M348" t="s">
        <v>1278</v>
      </c>
    </row>
    <row r="349" spans="13:13">
      <c r="M349" t="s">
        <v>1279</v>
      </c>
    </row>
    <row r="350" spans="13:13">
      <c r="M350" t="s">
        <v>1280</v>
      </c>
    </row>
    <row r="351" spans="13:13">
      <c r="M351" t="s">
        <v>1281</v>
      </c>
    </row>
    <row r="352" spans="13:13">
      <c r="M352" t="s">
        <v>1282</v>
      </c>
    </row>
    <row r="353" spans="13:13">
      <c r="M353" t="s">
        <v>1283</v>
      </c>
    </row>
    <row r="354" spans="13:13">
      <c r="M354" t="s">
        <v>1284</v>
      </c>
    </row>
    <row r="355" spans="13:13">
      <c r="M355" t="s">
        <v>1285</v>
      </c>
    </row>
    <row r="356" spans="13:13">
      <c r="M356" t="s">
        <v>1286</v>
      </c>
    </row>
    <row r="357" spans="13:13">
      <c r="M357" t="s">
        <v>1287</v>
      </c>
    </row>
    <row r="358" spans="13:13">
      <c r="M358" t="s">
        <v>1288</v>
      </c>
    </row>
    <row r="359" spans="13:13">
      <c r="M359" t="s">
        <v>1289</v>
      </c>
    </row>
    <row r="360" spans="13:13">
      <c r="M360" t="s">
        <v>1290</v>
      </c>
    </row>
    <row r="361" spans="13:13">
      <c r="M361" t="s">
        <v>1291</v>
      </c>
    </row>
    <row r="362" spans="13:13">
      <c r="M362" t="s">
        <v>1292</v>
      </c>
    </row>
    <row r="363" spans="13:13">
      <c r="M363" t="s">
        <v>1293</v>
      </c>
    </row>
  </sheetData>
  <sortState xmlns:xlrd2="http://schemas.microsoft.com/office/spreadsheetml/2017/richdata2" ref="M3:M243">
    <sortCondition ref="M243"/>
  </sortState>
  <dataConsolidate/>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H37"/>
  <sheetViews>
    <sheetView workbookViewId="0"/>
  </sheetViews>
  <sheetFormatPr defaultRowHeight="15.5"/>
  <cols>
    <col min="1" max="1" width="6.5" bestFit="1" customWidth="1"/>
    <col min="2" max="2" width="13.58203125" bestFit="1" customWidth="1"/>
    <col min="3" max="3" width="14.5" bestFit="1" customWidth="1"/>
    <col min="4" max="4" width="14.75" bestFit="1" customWidth="1"/>
    <col min="5" max="5" width="9" customWidth="1"/>
    <col min="6" max="6" width="6.5" bestFit="1" customWidth="1"/>
    <col min="7" max="7" width="7.08203125" bestFit="1" customWidth="1"/>
    <col min="8" max="8" width="31" bestFit="1" customWidth="1"/>
  </cols>
  <sheetData>
    <row r="1" spans="1:8" ht="31">
      <c r="A1" s="130" t="s">
        <v>1294</v>
      </c>
      <c r="B1" s="130" t="s">
        <v>1295</v>
      </c>
      <c r="C1" s="130" t="s">
        <v>1296</v>
      </c>
      <c r="D1" s="130" t="s">
        <v>1297</v>
      </c>
      <c r="F1" s="130" t="s">
        <v>1294</v>
      </c>
      <c r="G1" s="130" t="s">
        <v>1298</v>
      </c>
      <c r="H1" s="130" t="s">
        <v>1299</v>
      </c>
    </row>
    <row r="2" spans="1:8">
      <c r="A2" s="132" t="s">
        <v>1300</v>
      </c>
      <c r="B2" s="132">
        <v>1</v>
      </c>
      <c r="C2" s="132" t="s">
        <v>795</v>
      </c>
      <c r="D2" s="132" t="s">
        <v>117</v>
      </c>
      <c r="F2" s="133" t="s">
        <v>1300</v>
      </c>
      <c r="G2" s="133" t="s">
        <v>1301</v>
      </c>
      <c r="H2" s="132" t="str">
        <f ca="1">CONCATENATE(F2,"_STORIES_",TEXT(NOW(),"YYYYMMDD-HHMMSS"),".", LOWER(G2))</f>
        <v>RS2_STORIES_20230510-231905.csv</v>
      </c>
    </row>
    <row r="3" spans="1:8">
      <c r="A3" s="132" t="s">
        <v>1300</v>
      </c>
      <c r="B3" s="132">
        <v>2</v>
      </c>
      <c r="C3" s="132" t="s">
        <v>116</v>
      </c>
      <c r="D3" s="132" t="s">
        <v>116</v>
      </c>
      <c r="F3" s="134" t="s">
        <v>1302</v>
      </c>
      <c r="G3" s="134" t="s">
        <v>1303</v>
      </c>
      <c r="H3" s="131" t="str">
        <f ca="1">CONCATENATE(F3,"_STORIES_",TEXT(NOW(),"YYYYMMDD-HHMMSS"),".", LOWER(G3))</f>
        <v>RS3_STORIES_20230510-231905.xls</v>
      </c>
    </row>
    <row r="4" spans="1:8">
      <c r="A4" s="132" t="s">
        <v>1300</v>
      </c>
      <c r="B4" s="132">
        <v>3</v>
      </c>
      <c r="C4" s="132" t="s">
        <v>115</v>
      </c>
      <c r="D4" s="132" t="s">
        <v>115</v>
      </c>
      <c r="F4" s="136" t="s">
        <v>1304</v>
      </c>
      <c r="G4" s="136" t="s">
        <v>1303</v>
      </c>
      <c r="H4" s="135" t="str">
        <f ca="1">CONCATENATE(F4,"_STORIES_",TEXT(NOW(),"YYYYMMDD-HHMMSS"),".", LOWER(G4))</f>
        <v>JIRA_STORIES_20230510-231905.xls</v>
      </c>
    </row>
    <row r="5" spans="1:8">
      <c r="A5" s="132" t="s">
        <v>1300</v>
      </c>
      <c r="B5" s="132">
        <v>4</v>
      </c>
      <c r="C5" s="132" t="s">
        <v>44</v>
      </c>
      <c r="D5" s="132" t="s">
        <v>44</v>
      </c>
      <c r="F5" s="137" t="s">
        <v>1305</v>
      </c>
      <c r="G5" s="137" t="s">
        <v>1301</v>
      </c>
      <c r="H5" s="138" t="str">
        <f ca="1">CONCATENATE(F5,"_STORIES_",TEXT(NOW(),"YYYYMMDD-HHMMSS"),".", LOWER(G5))</f>
        <v>TEST_STORIES_20230510-231905.csv</v>
      </c>
    </row>
    <row r="6" spans="1:8">
      <c r="A6" s="132" t="s">
        <v>1300</v>
      </c>
      <c r="B6" s="132">
        <v>5</v>
      </c>
      <c r="C6" s="132" t="s">
        <v>45</v>
      </c>
      <c r="D6" s="132" t="s">
        <v>45</v>
      </c>
    </row>
    <row r="7" spans="1:8">
      <c r="A7" s="132" t="s">
        <v>1300</v>
      </c>
      <c r="B7" s="132">
        <v>6</v>
      </c>
      <c r="C7" s="132" t="s">
        <v>120</v>
      </c>
      <c r="D7" s="132" t="s">
        <v>120</v>
      </c>
    </row>
    <row r="8" spans="1:8">
      <c r="A8" s="132" t="s">
        <v>1300</v>
      </c>
      <c r="B8" s="132">
        <v>7</v>
      </c>
      <c r="C8" s="132" t="s">
        <v>124</v>
      </c>
      <c r="D8" s="132" t="s">
        <v>124</v>
      </c>
    </row>
    <row r="9" spans="1:8">
      <c r="A9" s="132" t="s">
        <v>1300</v>
      </c>
      <c r="B9" s="132">
        <v>8</v>
      </c>
      <c r="C9" s="132" t="s">
        <v>119</v>
      </c>
      <c r="D9" s="132" t="s">
        <v>119</v>
      </c>
    </row>
    <row r="10" spans="1:8">
      <c r="A10" s="132" t="s">
        <v>1300</v>
      </c>
      <c r="B10" s="132">
        <v>9</v>
      </c>
      <c r="C10" s="132" t="s">
        <v>796</v>
      </c>
      <c r="D10" s="132" t="s">
        <v>1306</v>
      </c>
    </row>
    <row r="11" spans="1:8">
      <c r="A11" s="131" t="s">
        <v>1302</v>
      </c>
      <c r="B11" s="131">
        <v>1</v>
      </c>
      <c r="C11" s="131" t="s">
        <v>796</v>
      </c>
      <c r="D11" s="131"/>
    </row>
    <row r="12" spans="1:8">
      <c r="A12" s="131" t="s">
        <v>1302</v>
      </c>
      <c r="B12" s="131">
        <v>2</v>
      </c>
      <c r="C12" s="131" t="s">
        <v>1307</v>
      </c>
      <c r="D12" s="131" t="s">
        <v>117</v>
      </c>
    </row>
    <row r="13" spans="1:8">
      <c r="A13" s="131" t="s">
        <v>1302</v>
      </c>
      <c r="B13" s="131">
        <v>3</v>
      </c>
      <c r="C13" s="131" t="s">
        <v>116</v>
      </c>
      <c r="D13" s="131" t="s">
        <v>116</v>
      </c>
    </row>
    <row r="14" spans="1:8">
      <c r="A14" s="131" t="s">
        <v>1302</v>
      </c>
      <c r="B14" s="131">
        <v>4</v>
      </c>
      <c r="C14" s="131" t="s">
        <v>1308</v>
      </c>
      <c r="D14" s="131"/>
    </row>
    <row r="15" spans="1:8">
      <c r="A15" s="131" t="s">
        <v>1302</v>
      </c>
      <c r="B15" s="131">
        <v>5</v>
      </c>
      <c r="C15" s="131" t="s">
        <v>1309</v>
      </c>
      <c r="D15" s="131"/>
    </row>
    <row r="16" spans="1:8">
      <c r="A16" s="131" t="s">
        <v>1302</v>
      </c>
      <c r="B16" s="131">
        <v>6</v>
      </c>
      <c r="C16" s="131" t="s">
        <v>1310</v>
      </c>
      <c r="D16" s="131"/>
    </row>
    <row r="17" spans="1:4">
      <c r="A17" s="131" t="s">
        <v>1302</v>
      </c>
      <c r="B17" s="131">
        <v>7</v>
      </c>
      <c r="C17" s="131" t="s">
        <v>44</v>
      </c>
      <c r="D17" s="131" t="s">
        <v>44</v>
      </c>
    </row>
    <row r="18" spans="1:4">
      <c r="A18" s="131" t="s">
        <v>1302</v>
      </c>
      <c r="B18" s="131">
        <v>8</v>
      </c>
      <c r="C18" s="131" t="s">
        <v>45</v>
      </c>
      <c r="D18" s="131" t="s">
        <v>45</v>
      </c>
    </row>
    <row r="19" spans="1:4">
      <c r="A19" s="131" t="s">
        <v>1302</v>
      </c>
      <c r="B19" s="131">
        <v>9</v>
      </c>
      <c r="C19" s="131" t="s">
        <v>1311</v>
      </c>
      <c r="D19" s="131"/>
    </row>
    <row r="20" spans="1:4">
      <c r="A20" s="135" t="s">
        <v>1304</v>
      </c>
      <c r="B20" s="135">
        <v>1</v>
      </c>
      <c r="C20" s="135" t="s">
        <v>1307</v>
      </c>
      <c r="D20" s="135" t="s">
        <v>117</v>
      </c>
    </row>
    <row r="21" spans="1:4">
      <c r="A21" s="135" t="s">
        <v>1304</v>
      </c>
      <c r="B21" s="135">
        <v>2</v>
      </c>
      <c r="C21" s="135" t="s">
        <v>119</v>
      </c>
      <c r="D21" s="135" t="s">
        <v>119</v>
      </c>
    </row>
    <row r="22" spans="1:4">
      <c r="A22" s="135" t="s">
        <v>1304</v>
      </c>
      <c r="B22" s="135">
        <v>3</v>
      </c>
      <c r="C22" s="135" t="s">
        <v>44</v>
      </c>
      <c r="D22" s="135" t="s">
        <v>44</v>
      </c>
    </row>
    <row r="23" spans="1:4">
      <c r="A23" s="135" t="s">
        <v>1304</v>
      </c>
      <c r="B23" s="135">
        <v>4</v>
      </c>
      <c r="C23" s="135" t="s">
        <v>45</v>
      </c>
      <c r="D23" s="135" t="s">
        <v>45</v>
      </c>
    </row>
    <row r="24" spans="1:4">
      <c r="A24" s="135" t="s">
        <v>1304</v>
      </c>
      <c r="B24" s="135">
        <v>5</v>
      </c>
      <c r="C24" s="135" t="s">
        <v>1312</v>
      </c>
      <c r="D24" s="135" t="s">
        <v>1312</v>
      </c>
    </row>
    <row r="25" spans="1:4">
      <c r="A25" s="138" t="s">
        <v>1305</v>
      </c>
      <c r="B25" s="138">
        <v>9</v>
      </c>
      <c r="C25" s="138" t="str">
        <f t="shared" ref="C25:C37" si="0">CONCATENATE("Column ", B25)</f>
        <v>Column 9</v>
      </c>
      <c r="D25" s="138" t="s">
        <v>44</v>
      </c>
    </row>
    <row r="26" spans="1:4">
      <c r="A26" s="138" t="s">
        <v>1305</v>
      </c>
      <c r="B26" s="138">
        <v>2</v>
      </c>
      <c r="C26" s="138" t="str">
        <f t="shared" si="0"/>
        <v>Column 2</v>
      </c>
      <c r="D26" s="138" t="s">
        <v>115</v>
      </c>
    </row>
    <row r="27" spans="1:4">
      <c r="A27" s="138" t="s">
        <v>1305</v>
      </c>
      <c r="B27" s="138">
        <v>5</v>
      </c>
      <c r="C27" s="138" t="str">
        <f t="shared" si="0"/>
        <v>Column 5</v>
      </c>
      <c r="D27" s="138" t="s">
        <v>119</v>
      </c>
    </row>
    <row r="28" spans="1:4">
      <c r="A28" s="138" t="s">
        <v>1305</v>
      </c>
      <c r="B28" s="138">
        <v>10</v>
      </c>
      <c r="C28" s="138" t="str">
        <f t="shared" si="0"/>
        <v>Column 10</v>
      </c>
      <c r="D28" s="138" t="s">
        <v>45</v>
      </c>
    </row>
    <row r="29" spans="1:4">
      <c r="A29" s="138" t="s">
        <v>1305</v>
      </c>
      <c r="B29" s="138">
        <v>7</v>
      </c>
      <c r="C29" s="138" t="str">
        <f t="shared" si="0"/>
        <v>Column 7</v>
      </c>
      <c r="D29" s="138" t="s">
        <v>1313</v>
      </c>
    </row>
    <row r="30" spans="1:4">
      <c r="A30" s="138" t="s">
        <v>1305</v>
      </c>
      <c r="B30" s="138">
        <v>11</v>
      </c>
      <c r="C30" s="138" t="str">
        <f t="shared" si="0"/>
        <v>Column 11</v>
      </c>
      <c r="D30" s="138" t="s">
        <v>122</v>
      </c>
    </row>
    <row r="31" spans="1:4">
      <c r="A31" s="138" t="s">
        <v>1305</v>
      </c>
      <c r="B31" s="138">
        <v>12</v>
      </c>
      <c r="C31" s="138" t="str">
        <f t="shared" si="0"/>
        <v>Column 12</v>
      </c>
      <c r="D31" s="138" t="s">
        <v>124</v>
      </c>
    </row>
    <row r="32" spans="1:4">
      <c r="A32" s="138" t="s">
        <v>1305</v>
      </c>
      <c r="B32" s="138">
        <v>6</v>
      </c>
      <c r="C32" s="138" t="str">
        <f t="shared" si="0"/>
        <v>Column 6</v>
      </c>
      <c r="D32" s="138" t="s">
        <v>120</v>
      </c>
    </row>
    <row r="33" spans="1:4">
      <c r="A33" s="138" t="s">
        <v>1305</v>
      </c>
      <c r="B33" s="138">
        <v>1</v>
      </c>
      <c r="C33" s="138" t="str">
        <f t="shared" si="0"/>
        <v>Column 1</v>
      </c>
      <c r="D33" s="138" t="s">
        <v>1306</v>
      </c>
    </row>
    <row r="34" spans="1:4">
      <c r="A34" s="138" t="s">
        <v>1305</v>
      </c>
      <c r="B34" s="138">
        <v>4</v>
      </c>
      <c r="C34" s="138" t="str">
        <f t="shared" si="0"/>
        <v>Column 4</v>
      </c>
      <c r="D34" s="138" t="s">
        <v>117</v>
      </c>
    </row>
    <row r="35" spans="1:4">
      <c r="A35" s="138" t="s">
        <v>1305</v>
      </c>
      <c r="B35" s="138">
        <v>8</v>
      </c>
      <c r="C35" s="138" t="str">
        <f t="shared" si="0"/>
        <v>Column 8</v>
      </c>
      <c r="D35" s="138" t="s">
        <v>43</v>
      </c>
    </row>
    <row r="36" spans="1:4">
      <c r="A36" s="138" t="s">
        <v>1305</v>
      </c>
      <c r="B36" s="138">
        <v>13</v>
      </c>
      <c r="C36" s="138" t="str">
        <f t="shared" si="0"/>
        <v>Column 13</v>
      </c>
      <c r="D36" s="138" t="s">
        <v>1312</v>
      </c>
    </row>
    <row r="37" spans="1:4">
      <c r="A37" s="138" t="s">
        <v>1305</v>
      </c>
      <c r="B37" s="138">
        <v>3</v>
      </c>
      <c r="C37" s="138" t="str">
        <f t="shared" si="0"/>
        <v>Column 3</v>
      </c>
      <c r="D37" s="138" t="s">
        <v>116</v>
      </c>
    </row>
  </sheetData>
  <sortState xmlns:xlrd2="http://schemas.microsoft.com/office/spreadsheetml/2017/richdata2" ref="A24:D35">
    <sortCondition ref="D24:D35"/>
  </sortState>
  <dataConsolidate/>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N30"/>
  <sheetViews>
    <sheetView topLeftCell="A7" zoomScale="80" zoomScaleNormal="80" workbookViewId="0">
      <selection activeCell="A12" sqref="A12:C12"/>
    </sheetView>
  </sheetViews>
  <sheetFormatPr defaultRowHeight="15.5"/>
  <cols>
    <col min="1" max="1" width="33.08203125" customWidth="1"/>
    <col min="2" max="2" width="26.08203125" customWidth="1"/>
    <col min="3" max="3" width="58.58203125" customWidth="1"/>
  </cols>
  <sheetData>
    <row r="1" spans="1:14">
      <c r="A1" s="5" t="s">
        <v>1314</v>
      </c>
    </row>
    <row r="2" spans="1:14" ht="52.5" customHeight="1">
      <c r="A2" s="419" t="s">
        <v>1315</v>
      </c>
      <c r="B2" s="419"/>
      <c r="C2" s="419"/>
    </row>
    <row r="3" spans="1:14" ht="146.25" customHeight="1">
      <c r="A3" s="419" t="s">
        <v>1316</v>
      </c>
      <c r="B3" s="419"/>
      <c r="C3" s="419"/>
    </row>
    <row r="4" spans="1:14" ht="70.5" customHeight="1">
      <c r="A4" s="419" t="s">
        <v>1317</v>
      </c>
      <c r="B4" s="419"/>
      <c r="C4" s="419"/>
    </row>
    <row r="5" spans="1:14" ht="52.5" customHeight="1">
      <c r="A5" s="419" t="s">
        <v>1318</v>
      </c>
      <c r="B5" s="419"/>
      <c r="C5" s="419"/>
      <c r="D5" s="420"/>
      <c r="E5" s="420"/>
      <c r="F5" s="420"/>
      <c r="G5" s="420"/>
      <c r="H5" s="420"/>
      <c r="I5" s="420"/>
      <c r="J5" s="420"/>
      <c r="K5" s="420"/>
      <c r="L5" s="420"/>
      <c r="M5" s="420"/>
      <c r="N5" s="420"/>
    </row>
    <row r="6" spans="1:14" ht="52.5" customHeight="1">
      <c r="A6" s="419" t="s">
        <v>1319</v>
      </c>
      <c r="B6" s="419"/>
      <c r="C6" s="419"/>
      <c r="D6" s="420"/>
      <c r="E6" s="420"/>
      <c r="F6" s="420"/>
      <c r="G6" s="420"/>
      <c r="H6" s="420"/>
      <c r="I6" s="420"/>
      <c r="J6" s="420"/>
      <c r="K6" s="420"/>
      <c r="L6" s="420"/>
      <c r="M6" s="420"/>
      <c r="N6" s="420"/>
    </row>
    <row r="7" spans="1:14" ht="52.5" customHeight="1">
      <c r="A7" s="419" t="s">
        <v>1320</v>
      </c>
      <c r="B7" s="419"/>
      <c r="C7" s="419"/>
      <c r="D7" s="420"/>
      <c r="E7" s="420"/>
      <c r="F7" s="420"/>
      <c r="G7" s="420"/>
      <c r="H7" s="420"/>
      <c r="I7" s="420"/>
      <c r="J7" s="420"/>
      <c r="K7" s="420"/>
      <c r="L7" s="420"/>
      <c r="M7" s="420"/>
      <c r="N7" s="420"/>
    </row>
    <row r="8" spans="1:14" ht="52.5" customHeight="1">
      <c r="A8" s="419" t="s">
        <v>1321</v>
      </c>
      <c r="B8" s="419"/>
      <c r="C8" s="419"/>
      <c r="D8" s="420"/>
      <c r="E8" s="420"/>
      <c r="F8" s="420"/>
      <c r="G8" s="420"/>
      <c r="H8" s="420"/>
      <c r="I8" s="420"/>
      <c r="J8" s="420"/>
      <c r="K8" s="420"/>
      <c r="L8" s="420"/>
      <c r="M8" s="420"/>
      <c r="N8" s="420"/>
    </row>
    <row r="9" spans="1:14" ht="52.5" customHeight="1">
      <c r="A9" s="419" t="s">
        <v>1322</v>
      </c>
      <c r="B9" s="419"/>
      <c r="C9" s="419"/>
      <c r="D9" s="420"/>
      <c r="E9" s="420"/>
      <c r="F9" s="420"/>
      <c r="G9" s="420"/>
      <c r="H9" s="420"/>
      <c r="I9" s="420"/>
      <c r="J9" s="420"/>
      <c r="K9" s="420"/>
      <c r="L9" s="420"/>
      <c r="M9" s="420"/>
      <c r="N9" s="420"/>
    </row>
    <row r="10" spans="1:14" ht="52.5" customHeight="1">
      <c r="A10" s="419" t="s">
        <v>1323</v>
      </c>
      <c r="B10" s="419"/>
      <c r="C10" s="419"/>
      <c r="D10" s="420"/>
      <c r="E10" s="420"/>
      <c r="F10" s="420"/>
      <c r="G10" s="420"/>
      <c r="H10" s="420"/>
      <c r="I10" s="420"/>
      <c r="J10" s="420"/>
      <c r="K10" s="420"/>
      <c r="L10" s="420"/>
      <c r="M10" s="420"/>
      <c r="N10" s="420"/>
    </row>
    <row r="11" spans="1:14" ht="52.5" customHeight="1">
      <c r="A11" s="419" t="s">
        <v>1324</v>
      </c>
      <c r="B11" s="419"/>
      <c r="C11" s="419"/>
      <c r="D11" s="420"/>
      <c r="E11" s="420"/>
      <c r="F11" s="420"/>
      <c r="G11" s="420"/>
      <c r="H11" s="420"/>
      <c r="I11" s="420"/>
      <c r="J11" s="420"/>
      <c r="K11" s="420"/>
      <c r="L11" s="420"/>
      <c r="M11" s="420"/>
      <c r="N11" s="420"/>
    </row>
    <row r="12" spans="1:14" ht="52.5" customHeight="1">
      <c r="A12" s="419" t="s">
        <v>1325</v>
      </c>
      <c r="B12" s="419"/>
      <c r="C12" s="419"/>
      <c r="D12" s="420"/>
      <c r="E12" s="420"/>
      <c r="F12" s="420"/>
      <c r="G12" s="420"/>
      <c r="H12" s="420"/>
      <c r="I12" s="420"/>
      <c r="J12" s="420"/>
      <c r="K12" s="420"/>
      <c r="L12" s="420"/>
      <c r="M12" s="420"/>
      <c r="N12" s="420"/>
    </row>
    <row r="13" spans="1:14" ht="192" customHeight="1">
      <c r="A13" s="419" t="s">
        <v>1326</v>
      </c>
      <c r="B13" s="419"/>
      <c r="C13" s="419"/>
      <c r="D13" s="420"/>
      <c r="E13" s="420"/>
      <c r="F13" s="420"/>
      <c r="G13" s="420"/>
      <c r="H13" s="420"/>
      <c r="I13" s="420"/>
      <c r="J13" s="420"/>
      <c r="K13" s="420"/>
      <c r="L13" s="420"/>
      <c r="M13" s="420"/>
      <c r="N13" s="420"/>
    </row>
    <row r="14" spans="1:14" ht="52.5" customHeight="1" thickBot="1">
      <c r="A14" s="419" t="s">
        <v>1327</v>
      </c>
      <c r="B14" s="419"/>
      <c r="C14" s="419"/>
      <c r="D14" s="420"/>
      <c r="E14" s="420"/>
      <c r="F14" s="420"/>
      <c r="G14" s="420"/>
      <c r="H14" s="420"/>
      <c r="I14" s="420"/>
      <c r="J14" s="420"/>
      <c r="K14" s="420"/>
      <c r="L14" s="420"/>
      <c r="M14" s="420"/>
      <c r="N14" s="420"/>
    </row>
    <row r="15" spans="1:14" ht="16" thickBot="1">
      <c r="A15" s="274" t="s">
        <v>1328</v>
      </c>
      <c r="B15" s="275" t="s">
        <v>1329</v>
      </c>
      <c r="C15" s="276" t="s">
        <v>119</v>
      </c>
    </row>
    <row r="16" spans="1:14" ht="16" thickBot="1">
      <c r="A16" s="277" t="s">
        <v>260</v>
      </c>
      <c r="B16" s="278" t="s">
        <v>1330</v>
      </c>
      <c r="C16" s="279" t="s">
        <v>1331</v>
      </c>
    </row>
    <row r="17" spans="1:3" ht="16" thickBot="1">
      <c r="A17" s="277" t="s">
        <v>260</v>
      </c>
      <c r="B17" s="278" t="s">
        <v>1332</v>
      </c>
      <c r="C17" s="279" t="s">
        <v>1333</v>
      </c>
    </row>
    <row r="18" spans="1:3" ht="16" thickBot="1">
      <c r="A18" s="277" t="s">
        <v>260</v>
      </c>
      <c r="B18" s="278" t="s">
        <v>1330</v>
      </c>
      <c r="C18" s="279" t="s">
        <v>1334</v>
      </c>
    </row>
    <row r="19" spans="1:3" ht="44" thickBot="1">
      <c r="A19" s="277" t="s">
        <v>1335</v>
      </c>
      <c r="B19" s="278" t="s">
        <v>1336</v>
      </c>
      <c r="C19" s="279" t="s">
        <v>1337</v>
      </c>
    </row>
    <row r="20" spans="1:3" ht="16" thickBot="1">
      <c r="A20" s="277" t="s">
        <v>1338</v>
      </c>
      <c r="B20" s="278" t="s">
        <v>1339</v>
      </c>
      <c r="C20" s="279" t="s">
        <v>1340</v>
      </c>
    </row>
    <row r="21" spans="1:3" ht="16" thickBot="1">
      <c r="A21" s="277" t="s">
        <v>268</v>
      </c>
      <c r="B21" s="278" t="s">
        <v>1341</v>
      </c>
      <c r="C21" s="279" t="s">
        <v>1342</v>
      </c>
    </row>
    <row r="22" spans="1:3" ht="16" thickBot="1">
      <c r="A22" s="277" t="s">
        <v>1343</v>
      </c>
      <c r="B22" s="278" t="s">
        <v>1344</v>
      </c>
      <c r="C22" s="279" t="s">
        <v>1345</v>
      </c>
    </row>
    <row r="23" spans="1:3" ht="16" thickBot="1">
      <c r="A23" s="277" t="s">
        <v>1346</v>
      </c>
      <c r="B23" s="278" t="s">
        <v>1347</v>
      </c>
      <c r="C23" s="279" t="s">
        <v>1348</v>
      </c>
    </row>
    <row r="24" spans="1:3" ht="16" thickBot="1">
      <c r="A24" s="277" t="s">
        <v>1349</v>
      </c>
      <c r="B24" s="278" t="s">
        <v>1350</v>
      </c>
      <c r="C24" s="279" t="s">
        <v>1351</v>
      </c>
    </row>
    <row r="25" spans="1:3" ht="29.5" thickBot="1">
      <c r="A25" s="277" t="s">
        <v>1352</v>
      </c>
      <c r="B25" s="278" t="s">
        <v>1353</v>
      </c>
      <c r="C25" s="279" t="s">
        <v>1354</v>
      </c>
    </row>
    <row r="26" spans="1:3" ht="29.5" thickBot="1">
      <c r="A26" s="277" t="s">
        <v>1338</v>
      </c>
      <c r="B26" s="278" t="s">
        <v>1350</v>
      </c>
      <c r="C26" s="279" t="s">
        <v>1355</v>
      </c>
    </row>
    <row r="27" spans="1:3" ht="16" thickBot="1">
      <c r="A27" s="277" t="s">
        <v>1338</v>
      </c>
      <c r="B27" s="278" t="s">
        <v>1330</v>
      </c>
      <c r="C27" s="279" t="s">
        <v>1356</v>
      </c>
    </row>
    <row r="28" spans="1:3" ht="16" thickBot="1">
      <c r="A28" s="277" t="s">
        <v>1343</v>
      </c>
      <c r="B28" s="278" t="s">
        <v>1357</v>
      </c>
      <c r="C28" s="279" t="s">
        <v>1358</v>
      </c>
    </row>
    <row r="30" spans="1:3">
      <c r="A30" s="280" t="s">
        <v>1359</v>
      </c>
    </row>
  </sheetData>
  <mergeCells count="53">
    <mergeCell ref="G5:I5"/>
    <mergeCell ref="J5:L5"/>
    <mergeCell ref="M5:N5"/>
    <mergeCell ref="A6:C6"/>
    <mergeCell ref="D6:F6"/>
    <mergeCell ref="G6:I6"/>
    <mergeCell ref="J6:L6"/>
    <mergeCell ref="M6:N6"/>
    <mergeCell ref="A2:C2"/>
    <mergeCell ref="A3:C3"/>
    <mergeCell ref="A4:C4"/>
    <mergeCell ref="A5:C5"/>
    <mergeCell ref="D5:F5"/>
    <mergeCell ref="G7:I7"/>
    <mergeCell ref="J7:L7"/>
    <mergeCell ref="M7:N7"/>
    <mergeCell ref="A8:C8"/>
    <mergeCell ref="D8:F8"/>
    <mergeCell ref="G8:I8"/>
    <mergeCell ref="J8:L8"/>
    <mergeCell ref="M8:N8"/>
    <mergeCell ref="A7:C7"/>
    <mergeCell ref="D7:F7"/>
    <mergeCell ref="A9:C9"/>
    <mergeCell ref="D9:F9"/>
    <mergeCell ref="G9:I9"/>
    <mergeCell ref="J9:L9"/>
    <mergeCell ref="M9:N9"/>
    <mergeCell ref="A10:C10"/>
    <mergeCell ref="D10:F10"/>
    <mergeCell ref="G10:I10"/>
    <mergeCell ref="J10:L10"/>
    <mergeCell ref="M10:N10"/>
    <mergeCell ref="A11:C11"/>
    <mergeCell ref="D11:F11"/>
    <mergeCell ref="G11:I11"/>
    <mergeCell ref="J11:L11"/>
    <mergeCell ref="M11:N11"/>
    <mergeCell ref="A12:C12"/>
    <mergeCell ref="D12:F12"/>
    <mergeCell ref="G12:I12"/>
    <mergeCell ref="J12:L12"/>
    <mergeCell ref="M12:N12"/>
    <mergeCell ref="A13:C13"/>
    <mergeCell ref="D13:F13"/>
    <mergeCell ref="G13:I13"/>
    <mergeCell ref="J13:L13"/>
    <mergeCell ref="M13:N13"/>
    <mergeCell ref="A14:C14"/>
    <mergeCell ref="D14:F14"/>
    <mergeCell ref="G14:I14"/>
    <mergeCell ref="J14:L14"/>
    <mergeCell ref="M14:N1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3:N41"/>
  <sheetViews>
    <sheetView zoomScaleNormal="100" workbookViewId="0">
      <selection activeCell="E28" sqref="E28"/>
    </sheetView>
  </sheetViews>
  <sheetFormatPr defaultRowHeight="15.5"/>
  <cols>
    <col min="1" max="1" width="15.58203125" customWidth="1"/>
    <col min="2" max="2" width="14.58203125" bestFit="1" customWidth="1"/>
    <col min="3" max="3" width="13.75" customWidth="1"/>
    <col min="4" max="4" width="6.5" customWidth="1"/>
    <col min="5" max="5" width="10.33203125" customWidth="1"/>
    <col min="6" max="6" width="11.08203125" customWidth="1"/>
    <col min="7" max="7" width="11.83203125" customWidth="1"/>
    <col min="8" max="8" width="7.5" customWidth="1"/>
    <col min="9" max="9" width="6.5" customWidth="1"/>
    <col min="10" max="10" width="12.08203125" customWidth="1"/>
    <col min="11" max="11" width="4.83203125" bestFit="1" customWidth="1"/>
    <col min="12" max="12" width="8.58203125" bestFit="1" customWidth="1"/>
    <col min="13" max="13" width="7.25" bestFit="1" customWidth="1"/>
    <col min="14" max="14" width="10.33203125" bestFit="1" customWidth="1"/>
    <col min="15" max="15" width="12.08203125" customWidth="1"/>
    <col min="16" max="16" width="18.08203125" customWidth="1"/>
    <col min="17" max="17" width="10.5" customWidth="1"/>
    <col min="18" max="18" width="4.83203125" customWidth="1"/>
    <col min="19" max="19" width="13.5" customWidth="1"/>
    <col min="20" max="20" width="12.08203125" customWidth="1"/>
    <col min="21" max="21" width="4.58203125" customWidth="1"/>
    <col min="22" max="22" width="15.08203125" bestFit="1" customWidth="1"/>
    <col min="23" max="23" width="11.5" bestFit="1" customWidth="1"/>
    <col min="24" max="24" width="11.08203125" bestFit="1" customWidth="1"/>
    <col min="25" max="25" width="7.5" customWidth="1"/>
    <col min="26" max="26" width="14.5" bestFit="1" customWidth="1"/>
    <col min="27" max="27" width="11.5" customWidth="1"/>
    <col min="28" max="28" width="14.5" bestFit="1" customWidth="1"/>
    <col min="29" max="29" width="10.5" customWidth="1"/>
    <col min="30" max="30" width="13.5" bestFit="1" customWidth="1"/>
    <col min="31" max="31" width="8.25" customWidth="1"/>
    <col min="32" max="32" width="7.5" customWidth="1"/>
    <col min="33" max="33" width="11.08203125" bestFit="1" customWidth="1"/>
    <col min="34" max="34" width="12.83203125" bestFit="1" customWidth="1"/>
    <col min="35" max="35" width="4.83203125" customWidth="1"/>
    <col min="36" max="36" width="11.08203125" bestFit="1" customWidth="1"/>
    <col min="37" max="37" width="15.83203125" bestFit="1" customWidth="1"/>
    <col min="38" max="38" width="16.75" customWidth="1"/>
    <col min="39" max="39" width="19.75" bestFit="1" customWidth="1"/>
    <col min="40" max="40" width="15" customWidth="1"/>
    <col min="41" max="41" width="3.33203125" customWidth="1"/>
    <col min="42" max="42" width="7.5" customWidth="1"/>
    <col min="43" max="43" width="18" bestFit="1" customWidth="1"/>
    <col min="44" max="44" width="8.58203125" customWidth="1"/>
    <col min="45" max="45" width="11.5" customWidth="1"/>
    <col min="46" max="46" width="8.08203125" customWidth="1"/>
    <col min="47" max="47" width="7.5" customWidth="1"/>
    <col min="48" max="48" width="8.83203125" customWidth="1"/>
    <col min="49" max="49" width="8.25" customWidth="1"/>
    <col min="50" max="50" width="6.5" customWidth="1"/>
    <col min="51" max="51" width="12.08203125" bestFit="1" customWidth="1"/>
    <col min="52" max="52" width="11.08203125" bestFit="1" customWidth="1"/>
    <col min="53" max="53" width="12" bestFit="1" customWidth="1"/>
    <col min="54" max="54" width="15" bestFit="1" customWidth="1"/>
    <col min="55" max="55" width="12" bestFit="1" customWidth="1"/>
    <col min="56" max="56" width="15" bestFit="1" customWidth="1"/>
    <col min="57" max="57" width="10.33203125" bestFit="1" customWidth="1"/>
  </cols>
  <sheetData>
    <row r="3" spans="1:14">
      <c r="A3" s="270" t="s">
        <v>1360</v>
      </c>
      <c r="B3" s="270" t="s">
        <v>1361</v>
      </c>
    </row>
    <row r="4" spans="1:14">
      <c r="A4" s="270" t="s">
        <v>1362</v>
      </c>
      <c r="B4" t="s">
        <v>135</v>
      </c>
      <c r="C4" t="s">
        <v>149</v>
      </c>
      <c r="D4" t="s">
        <v>1363</v>
      </c>
      <c r="E4" t="s">
        <v>1364</v>
      </c>
    </row>
    <row r="5" spans="1:14">
      <c r="A5" s="271" t="s">
        <v>37</v>
      </c>
      <c r="B5">
        <v>10</v>
      </c>
      <c r="C5">
        <v>15</v>
      </c>
      <c r="E5">
        <v>25</v>
      </c>
    </row>
    <row r="6" spans="1:14">
      <c r="A6" s="271" t="s">
        <v>36</v>
      </c>
      <c r="B6">
        <v>15</v>
      </c>
      <c r="C6">
        <v>15</v>
      </c>
      <c r="E6">
        <v>30</v>
      </c>
      <c r="J6" t="s">
        <v>131</v>
      </c>
      <c r="K6">
        <f>SUM(B5:C8,B11,C11)</f>
        <v>123</v>
      </c>
      <c r="L6" s="312">
        <f>K6/SUM(K6:K9)</f>
        <v>5.3716481788802499E-2</v>
      </c>
    </row>
    <row r="7" spans="1:14">
      <c r="A7" s="271" t="s">
        <v>35</v>
      </c>
      <c r="B7">
        <v>20</v>
      </c>
      <c r="E7">
        <v>20</v>
      </c>
      <c r="J7" t="s">
        <v>101</v>
      </c>
      <c r="K7">
        <f>SUM(B12:C14,C19,B24,C24)</f>
        <v>1533.2000000000005</v>
      </c>
      <c r="L7" s="310">
        <f>K7/SUM(K6:K9)</f>
        <v>0.66957812909424408</v>
      </c>
      <c r="M7" s="286"/>
      <c r="N7" s="291"/>
    </row>
    <row r="8" spans="1:14">
      <c r="A8" s="271" t="s">
        <v>28</v>
      </c>
      <c r="B8">
        <v>29</v>
      </c>
      <c r="C8">
        <v>2.5</v>
      </c>
      <c r="E8">
        <v>31.5</v>
      </c>
      <c r="J8" t="s">
        <v>26</v>
      </c>
      <c r="K8">
        <f>SUM(B15:C16)</f>
        <v>299</v>
      </c>
      <c r="L8" s="310">
        <f>K8/SUM(K6:K9)</f>
        <v>0.13057908987684511</v>
      </c>
      <c r="M8" s="286"/>
      <c r="N8" s="291"/>
    </row>
    <row r="9" spans="1:14">
      <c r="A9" s="271" t="s">
        <v>32</v>
      </c>
      <c r="B9">
        <v>6.5</v>
      </c>
      <c r="E9">
        <v>6.5</v>
      </c>
      <c r="J9" t="s">
        <v>27</v>
      </c>
      <c r="K9">
        <f>SUM(B17:C17)</f>
        <v>334.6</v>
      </c>
      <c r="L9" s="310">
        <f>K9/SUM(K6:K9)</f>
        <v>0.14612629924010828</v>
      </c>
      <c r="N9" s="291"/>
    </row>
    <row r="10" spans="1:14">
      <c r="A10" s="271" t="s">
        <v>33</v>
      </c>
      <c r="B10">
        <v>7</v>
      </c>
      <c r="C10">
        <v>0</v>
      </c>
      <c r="E10">
        <v>7</v>
      </c>
      <c r="L10" s="311"/>
      <c r="N10" s="291"/>
    </row>
    <row r="11" spans="1:14">
      <c r="A11" s="271" t="s">
        <v>30</v>
      </c>
      <c r="B11">
        <v>10.5</v>
      </c>
      <c r="C11">
        <v>6</v>
      </c>
      <c r="E11">
        <v>16.5</v>
      </c>
    </row>
    <row r="12" spans="1:14">
      <c r="A12" s="271" t="s">
        <v>131</v>
      </c>
      <c r="B12">
        <v>140.20000000000002</v>
      </c>
      <c r="C12">
        <v>108.1</v>
      </c>
      <c r="E12">
        <v>248.3</v>
      </c>
    </row>
    <row r="13" spans="1:14">
      <c r="A13" s="271" t="s">
        <v>512</v>
      </c>
      <c r="B13">
        <v>17.5</v>
      </c>
      <c r="C13">
        <v>71</v>
      </c>
      <c r="E13">
        <v>88.5</v>
      </c>
    </row>
    <row r="14" spans="1:14">
      <c r="A14" s="271" t="s">
        <v>309</v>
      </c>
      <c r="B14">
        <v>148.79999999999995</v>
      </c>
      <c r="C14">
        <v>818.10000000000059</v>
      </c>
      <c r="E14">
        <v>966.90000000000055</v>
      </c>
    </row>
    <row r="15" spans="1:14">
      <c r="A15" s="271" t="s">
        <v>474</v>
      </c>
      <c r="B15">
        <v>63.2</v>
      </c>
      <c r="C15">
        <v>175.9</v>
      </c>
      <c r="E15">
        <v>239.10000000000002</v>
      </c>
    </row>
    <row r="16" spans="1:14">
      <c r="A16" s="271" t="s">
        <v>172</v>
      </c>
      <c r="C16">
        <v>59.9</v>
      </c>
      <c r="E16">
        <v>59.9</v>
      </c>
    </row>
    <row r="17" spans="1:10">
      <c r="A17" s="285" t="s">
        <v>491</v>
      </c>
      <c r="B17">
        <v>36.9</v>
      </c>
      <c r="C17">
        <v>297.70000000000005</v>
      </c>
      <c r="E17">
        <v>334.6</v>
      </c>
    </row>
    <row r="18" spans="1:10">
      <c r="A18" s="285" t="s">
        <v>39</v>
      </c>
      <c r="B18">
        <v>21</v>
      </c>
      <c r="C18">
        <v>138.19999999999999</v>
      </c>
      <c r="E18">
        <v>159.19999999999999</v>
      </c>
    </row>
    <row r="19" spans="1:10">
      <c r="A19" s="285" t="s">
        <v>27</v>
      </c>
      <c r="B19">
        <v>22.5</v>
      </c>
      <c r="C19">
        <v>99.5</v>
      </c>
      <c r="E19">
        <v>122</v>
      </c>
    </row>
    <row r="20" spans="1:10">
      <c r="A20" s="285" t="s">
        <v>594</v>
      </c>
      <c r="C20">
        <v>35</v>
      </c>
      <c r="E20">
        <v>35</v>
      </c>
    </row>
    <row r="21" spans="1:10">
      <c r="A21" s="271" t="s">
        <v>503</v>
      </c>
      <c r="C21">
        <v>99</v>
      </c>
      <c r="E21">
        <v>99</v>
      </c>
    </row>
    <row r="22" spans="1:10">
      <c r="A22" s="285" t="s">
        <v>576</v>
      </c>
      <c r="C22">
        <v>300</v>
      </c>
      <c r="E22">
        <v>300</v>
      </c>
    </row>
    <row r="23" spans="1:10">
      <c r="A23" s="285" t="s">
        <v>583</v>
      </c>
      <c r="C23">
        <v>272.5</v>
      </c>
      <c r="E23">
        <v>272.5</v>
      </c>
    </row>
    <row r="24" spans="1:10">
      <c r="A24" s="285" t="s">
        <v>586</v>
      </c>
      <c r="C24">
        <v>130</v>
      </c>
      <c r="E24">
        <v>130</v>
      </c>
    </row>
    <row r="25" spans="1:10">
      <c r="A25" s="271" t="s">
        <v>1363</v>
      </c>
      <c r="B25">
        <v>0</v>
      </c>
      <c r="C25">
        <v>0</v>
      </c>
      <c r="D25">
        <v>0</v>
      </c>
      <c r="E25">
        <v>0</v>
      </c>
    </row>
    <row r="26" spans="1:10">
      <c r="A26" s="271" t="s">
        <v>1364</v>
      </c>
      <c r="B26">
        <v>548.09999999999991</v>
      </c>
      <c r="C26">
        <v>2643.4000000000005</v>
      </c>
      <c r="D26">
        <v>0</v>
      </c>
      <c r="E26">
        <v>3191.5000000000005</v>
      </c>
      <c r="G26">
        <f>GETPIVOTDATA("Buffered",$A$3,"Phase (EAR/ Implementation","EAR")+GETPIVOTDATA("Buffered",$A$3,"Phase (EAR/ Implementation","EAR")*20%</f>
        <v>657.71999999999991</v>
      </c>
    </row>
    <row r="27" spans="1:10">
      <c r="E27" s="293">
        <v>0.2</v>
      </c>
    </row>
    <row r="28" spans="1:10">
      <c r="B28" t="s">
        <v>1365</v>
      </c>
      <c r="C28" t="s">
        <v>1366</v>
      </c>
      <c r="D28" t="s">
        <v>1367</v>
      </c>
      <c r="E28" t="s">
        <v>1368</v>
      </c>
      <c r="F28" t="s">
        <v>1369</v>
      </c>
    </row>
    <row r="29" spans="1:10">
      <c r="A29" t="s">
        <v>1370</v>
      </c>
      <c r="B29">
        <v>32</v>
      </c>
      <c r="C29" s="132">
        <f t="shared" ref="C29:C38" si="0">B29*5</f>
        <v>160</v>
      </c>
      <c r="D29">
        <v>130</v>
      </c>
      <c r="E29" s="132">
        <f t="shared" ref="E29:E38" si="1">C29-C29*$E$27</f>
        <v>128</v>
      </c>
      <c r="F29">
        <f t="shared" ref="F29:F35" si="2">D29-E29</f>
        <v>2</v>
      </c>
      <c r="I29" t="s">
        <v>1371</v>
      </c>
      <c r="J29">
        <v>26</v>
      </c>
    </row>
    <row r="30" spans="1:10">
      <c r="A30" t="s">
        <v>1372</v>
      </c>
      <c r="B30">
        <v>21</v>
      </c>
      <c r="C30" s="132">
        <f t="shared" si="0"/>
        <v>105</v>
      </c>
      <c r="D30">
        <v>84</v>
      </c>
      <c r="E30" s="132">
        <f t="shared" si="1"/>
        <v>84</v>
      </c>
      <c r="F30">
        <f t="shared" si="2"/>
        <v>0</v>
      </c>
    </row>
    <row r="31" spans="1:10">
      <c r="A31" t="s">
        <v>583</v>
      </c>
      <c r="B31">
        <v>70</v>
      </c>
      <c r="C31" s="132">
        <f t="shared" si="0"/>
        <v>350</v>
      </c>
      <c r="D31">
        <v>292</v>
      </c>
      <c r="E31" s="132">
        <f t="shared" si="1"/>
        <v>280</v>
      </c>
      <c r="F31">
        <f t="shared" si="2"/>
        <v>12</v>
      </c>
    </row>
    <row r="32" spans="1:10">
      <c r="A32" t="s">
        <v>29</v>
      </c>
      <c r="B32">
        <v>15</v>
      </c>
      <c r="C32" s="132">
        <f t="shared" si="0"/>
        <v>75</v>
      </c>
      <c r="D32">
        <v>59</v>
      </c>
      <c r="E32" s="132">
        <f t="shared" si="1"/>
        <v>60</v>
      </c>
      <c r="F32">
        <f t="shared" si="2"/>
        <v>-1</v>
      </c>
    </row>
    <row r="33" spans="1:6">
      <c r="A33" t="s">
        <v>1373</v>
      </c>
      <c r="B33">
        <v>4</v>
      </c>
      <c r="C33" s="132">
        <f t="shared" si="0"/>
        <v>20</v>
      </c>
      <c r="D33">
        <v>16</v>
      </c>
      <c r="E33" s="132">
        <f t="shared" si="1"/>
        <v>16</v>
      </c>
      <c r="F33">
        <f t="shared" si="2"/>
        <v>0</v>
      </c>
    </row>
    <row r="34" spans="1:6">
      <c r="A34" t="s">
        <v>1374</v>
      </c>
      <c r="B34">
        <v>26</v>
      </c>
      <c r="C34" s="132">
        <f t="shared" si="0"/>
        <v>130</v>
      </c>
      <c r="D34">
        <f>80+27</f>
        <v>107</v>
      </c>
      <c r="E34" s="132">
        <f t="shared" si="1"/>
        <v>104</v>
      </c>
      <c r="F34">
        <f t="shared" si="2"/>
        <v>3</v>
      </c>
    </row>
    <row r="35" spans="1:6">
      <c r="A35" t="s">
        <v>1375</v>
      </c>
      <c r="B35">
        <v>124</v>
      </c>
      <c r="C35" s="132">
        <f t="shared" si="0"/>
        <v>620</v>
      </c>
      <c r="D35">
        <v>312.5</v>
      </c>
      <c r="E35" s="132">
        <f t="shared" si="1"/>
        <v>496</v>
      </c>
      <c r="F35">
        <f t="shared" si="2"/>
        <v>-183.5</v>
      </c>
    </row>
    <row r="36" spans="1:6">
      <c r="A36" t="s">
        <v>1376</v>
      </c>
      <c r="B36">
        <v>15</v>
      </c>
      <c r="C36" s="132">
        <f t="shared" si="0"/>
        <v>75</v>
      </c>
      <c r="D36">
        <v>75</v>
      </c>
      <c r="E36" s="132">
        <f t="shared" si="1"/>
        <v>60</v>
      </c>
      <c r="F36">
        <v>0</v>
      </c>
    </row>
    <row r="37" spans="1:6">
      <c r="A37" t="s">
        <v>1377</v>
      </c>
      <c r="B37">
        <v>10</v>
      </c>
      <c r="C37" s="132">
        <f t="shared" si="0"/>
        <v>50</v>
      </c>
      <c r="D37">
        <v>36.9</v>
      </c>
      <c r="E37" s="132">
        <f t="shared" si="1"/>
        <v>40</v>
      </c>
      <c r="F37">
        <f>D37-E37</f>
        <v>-3.1000000000000014</v>
      </c>
    </row>
    <row r="38" spans="1:6">
      <c r="A38" t="s">
        <v>1378</v>
      </c>
      <c r="C38" s="132">
        <f t="shared" si="0"/>
        <v>0</v>
      </c>
      <c r="D38">
        <v>160</v>
      </c>
      <c r="E38" s="132">
        <f t="shared" si="1"/>
        <v>0</v>
      </c>
      <c r="F38">
        <f>D38-E38</f>
        <v>160</v>
      </c>
    </row>
    <row r="39" spans="1:6">
      <c r="A39" t="s">
        <v>491</v>
      </c>
      <c r="B39">
        <v>90</v>
      </c>
      <c r="C39" s="132">
        <f>B39*5</f>
        <v>450</v>
      </c>
      <c r="D39">
        <f>160+35+350</f>
        <v>545</v>
      </c>
      <c r="E39" s="132">
        <f>C39-C39*$E$27</f>
        <v>360</v>
      </c>
      <c r="F39">
        <f>D39-E39</f>
        <v>185</v>
      </c>
    </row>
    <row r="40" spans="1:6">
      <c r="A40" t="s">
        <v>1379</v>
      </c>
      <c r="B40">
        <v>59</v>
      </c>
      <c r="C40" s="132">
        <f>B40*5</f>
        <v>295</v>
      </c>
      <c r="D40">
        <v>240</v>
      </c>
      <c r="E40" s="132">
        <f>C40-C40*$E$27</f>
        <v>236</v>
      </c>
      <c r="F40">
        <f>D40-E40</f>
        <v>4</v>
      </c>
    </row>
    <row r="41" spans="1:6">
      <c r="A41" t="s">
        <v>1380</v>
      </c>
      <c r="B41">
        <v>336</v>
      </c>
      <c r="C41" s="132">
        <f>B41*5</f>
        <v>1680</v>
      </c>
      <c r="D41">
        <f>1027+125+20+122.5</f>
        <v>1294.5</v>
      </c>
      <c r="E41" s="132">
        <f>C41-C41*$E$27</f>
        <v>1344</v>
      </c>
      <c r="F41">
        <f>D41-E41</f>
        <v>-49.5</v>
      </c>
    </row>
  </sheetData>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filterMode="1"/>
  <dimension ref="A1:G180"/>
  <sheetViews>
    <sheetView topLeftCell="A137" zoomScale="85" zoomScaleNormal="85" workbookViewId="0">
      <selection activeCell="B154" activeCellId="6" sqref="A1:G6 A1:G6 A8:G32 A35:G95 A97:G179 A35:G95 A97:G179"/>
    </sheetView>
  </sheetViews>
  <sheetFormatPr defaultRowHeight="15.5"/>
  <cols>
    <col min="2" max="2" width="66" customWidth="1"/>
    <col min="3" max="3" width="20.75" style="52" customWidth="1"/>
    <col min="4" max="4" width="25.58203125" customWidth="1"/>
    <col min="5" max="5" width="17.58203125" customWidth="1"/>
    <col min="6" max="6" width="12.08203125" customWidth="1"/>
  </cols>
  <sheetData>
    <row r="1" spans="1:7" ht="46.5">
      <c r="B1" t="s">
        <v>1381</v>
      </c>
      <c r="C1" s="52" t="s">
        <v>1382</v>
      </c>
      <c r="E1" t="s">
        <v>1383</v>
      </c>
      <c r="F1" t="s">
        <v>1384</v>
      </c>
      <c r="G1" t="s">
        <v>1385</v>
      </c>
    </row>
    <row r="2" spans="1:7">
      <c r="A2" s="267" t="s">
        <v>1386</v>
      </c>
      <c r="B2" s="262" t="s">
        <v>1387</v>
      </c>
    </row>
    <row r="3" spans="1:7">
      <c r="A3" s="258" t="s">
        <v>1388</v>
      </c>
      <c r="B3" s="263" t="s">
        <v>1389</v>
      </c>
      <c r="C3" s="268">
        <v>1</v>
      </c>
      <c r="D3" t="s">
        <v>381</v>
      </c>
    </row>
    <row r="4" spans="1:7">
      <c r="A4" s="258" t="s">
        <v>1390</v>
      </c>
      <c r="B4" s="264" t="s">
        <v>1391</v>
      </c>
      <c r="C4" s="268">
        <v>1</v>
      </c>
      <c r="D4" t="s">
        <v>389</v>
      </c>
    </row>
    <row r="5" spans="1:7">
      <c r="A5" s="258" t="s">
        <v>1392</v>
      </c>
      <c r="B5" s="264" t="s">
        <v>1393</v>
      </c>
      <c r="C5" s="268">
        <v>1</v>
      </c>
      <c r="D5" t="s">
        <v>389</v>
      </c>
    </row>
    <row r="6" spans="1:7">
      <c r="A6" s="258" t="s">
        <v>1394</v>
      </c>
      <c r="B6" s="264" t="s">
        <v>1395</v>
      </c>
      <c r="C6" s="268">
        <v>1</v>
      </c>
      <c r="D6" t="s">
        <v>389</v>
      </c>
    </row>
    <row r="7" spans="1:7" ht="15.75" hidden="1" customHeight="1">
      <c r="A7" s="258" t="s">
        <v>1396</v>
      </c>
      <c r="B7" s="264" t="s">
        <v>1397</v>
      </c>
      <c r="C7" s="268">
        <v>3</v>
      </c>
    </row>
    <row r="8" spans="1:7">
      <c r="A8" s="258" t="s">
        <v>1398</v>
      </c>
      <c r="B8" s="264" t="s">
        <v>1399</v>
      </c>
      <c r="C8" s="268">
        <v>1</v>
      </c>
      <c r="D8" t="s">
        <v>1400</v>
      </c>
    </row>
    <row r="9" spans="1:7">
      <c r="A9" s="258" t="s">
        <v>1401</v>
      </c>
      <c r="B9" s="265" t="s">
        <v>434</v>
      </c>
      <c r="C9" s="268">
        <v>1</v>
      </c>
      <c r="D9" t="s">
        <v>436</v>
      </c>
    </row>
    <row r="10" spans="1:7">
      <c r="A10" s="258" t="s">
        <v>1402</v>
      </c>
      <c r="B10" s="265" t="s">
        <v>414</v>
      </c>
      <c r="C10" s="268">
        <v>1</v>
      </c>
      <c r="D10" t="s">
        <v>414</v>
      </c>
    </row>
    <row r="11" spans="1:7">
      <c r="A11" s="258" t="s">
        <v>1403</v>
      </c>
      <c r="B11" s="265" t="s">
        <v>1404</v>
      </c>
      <c r="C11" s="268">
        <v>1</v>
      </c>
      <c r="D11" t="s">
        <v>411</v>
      </c>
    </row>
    <row r="12" spans="1:7">
      <c r="A12" s="258"/>
      <c r="B12" t="s">
        <v>1405</v>
      </c>
      <c r="C12" s="268"/>
      <c r="D12" t="s">
        <v>399</v>
      </c>
    </row>
    <row r="13" spans="1:7">
      <c r="A13" s="258"/>
      <c r="B13" t="s">
        <v>1406</v>
      </c>
      <c r="C13" s="268"/>
      <c r="D13" t="s">
        <v>438</v>
      </c>
    </row>
    <row r="14" spans="1:7">
      <c r="A14" s="258" t="s">
        <v>1407</v>
      </c>
      <c r="B14" s="263" t="s">
        <v>1408</v>
      </c>
      <c r="C14" s="268">
        <v>1</v>
      </c>
    </row>
    <row r="15" spans="1:7">
      <c r="A15" s="258" t="s">
        <v>1409</v>
      </c>
      <c r="B15" s="264" t="s">
        <v>1410</v>
      </c>
      <c r="C15" s="268">
        <v>1</v>
      </c>
      <c r="D15" t="s">
        <v>399</v>
      </c>
    </row>
    <row r="16" spans="1:7">
      <c r="A16" s="258" t="s">
        <v>1411</v>
      </c>
      <c r="B16" s="264" t="s">
        <v>404</v>
      </c>
      <c r="C16" s="268">
        <v>1</v>
      </c>
      <c r="D16" t="s">
        <v>404</v>
      </c>
    </row>
    <row r="17" spans="1:7">
      <c r="A17" s="258" t="s">
        <v>1412</v>
      </c>
      <c r="B17" s="264" t="s">
        <v>1413</v>
      </c>
      <c r="C17" s="268">
        <v>1</v>
      </c>
      <c r="G17" t="s">
        <v>1414</v>
      </c>
    </row>
    <row r="18" spans="1:7">
      <c r="A18" s="258" t="s">
        <v>1415</v>
      </c>
      <c r="B18" s="264" t="s">
        <v>428</v>
      </c>
      <c r="C18" s="268">
        <v>1</v>
      </c>
      <c r="D18" t="s">
        <v>428</v>
      </c>
    </row>
    <row r="19" spans="1:7">
      <c r="A19" s="258" t="s">
        <v>1416</v>
      </c>
      <c r="B19" s="263" t="s">
        <v>1417</v>
      </c>
      <c r="C19" s="268">
        <v>1</v>
      </c>
      <c r="D19" t="s">
        <v>1418</v>
      </c>
      <c r="E19" t="s">
        <v>1419</v>
      </c>
      <c r="F19" t="s">
        <v>1419</v>
      </c>
    </row>
    <row r="20" spans="1:7">
      <c r="A20" s="258" t="s">
        <v>1420</v>
      </c>
      <c r="B20" s="264" t="s">
        <v>1421</v>
      </c>
      <c r="C20" s="268">
        <v>1</v>
      </c>
      <c r="D20" t="s">
        <v>1418</v>
      </c>
      <c r="E20" t="s">
        <v>1419</v>
      </c>
      <c r="F20" t="s">
        <v>1419</v>
      </c>
    </row>
    <row r="21" spans="1:7">
      <c r="A21" s="258" t="s">
        <v>1422</v>
      </c>
      <c r="B21" s="264" t="s">
        <v>1423</v>
      </c>
      <c r="C21" s="268">
        <v>1</v>
      </c>
      <c r="D21" t="s">
        <v>1418</v>
      </c>
      <c r="E21" t="s">
        <v>1419</v>
      </c>
      <c r="F21" t="s">
        <v>1419</v>
      </c>
    </row>
    <row r="22" spans="1:7">
      <c r="A22" s="258" t="s">
        <v>1424</v>
      </c>
      <c r="B22" s="264" t="s">
        <v>1425</v>
      </c>
      <c r="C22" s="268">
        <v>1</v>
      </c>
      <c r="D22" t="s">
        <v>1418</v>
      </c>
      <c r="E22" t="s">
        <v>1419</v>
      </c>
      <c r="F22" t="s">
        <v>1419</v>
      </c>
    </row>
    <row r="23" spans="1:7">
      <c r="A23" s="258" t="s">
        <v>1426</v>
      </c>
      <c r="B23" s="264" t="s">
        <v>1427</v>
      </c>
      <c r="C23" s="268">
        <v>1</v>
      </c>
      <c r="D23" t="s">
        <v>1418</v>
      </c>
      <c r="E23" t="s">
        <v>1419</v>
      </c>
      <c r="F23" t="s">
        <v>1419</v>
      </c>
    </row>
    <row r="24" spans="1:7">
      <c r="A24" s="258" t="s">
        <v>1428</v>
      </c>
      <c r="B24" s="264" t="s">
        <v>1429</v>
      </c>
      <c r="C24" s="268">
        <v>1</v>
      </c>
      <c r="D24" t="s">
        <v>1418</v>
      </c>
      <c r="E24" t="s">
        <v>1419</v>
      </c>
      <c r="F24" t="s">
        <v>1419</v>
      </c>
    </row>
    <row r="25" spans="1:7">
      <c r="A25" s="258" t="s">
        <v>1430</v>
      </c>
      <c r="B25" s="264" t="s">
        <v>1431</v>
      </c>
      <c r="C25" s="268">
        <v>1</v>
      </c>
      <c r="D25" t="s">
        <v>1418</v>
      </c>
      <c r="E25" t="s">
        <v>1419</v>
      </c>
      <c r="F25" t="s">
        <v>1419</v>
      </c>
    </row>
    <row r="26" spans="1:7">
      <c r="A26" s="258" t="s">
        <v>1432</v>
      </c>
      <c r="B26" s="263" t="s">
        <v>1433</v>
      </c>
      <c r="C26" s="268">
        <v>1</v>
      </c>
      <c r="D26" t="s">
        <v>382</v>
      </c>
    </row>
    <row r="27" spans="1:7">
      <c r="A27" s="258"/>
      <c r="B27" t="s">
        <v>1434</v>
      </c>
      <c r="C27" s="268"/>
      <c r="D27" t="s">
        <v>444</v>
      </c>
    </row>
    <row r="28" spans="1:7">
      <c r="A28" s="258"/>
      <c r="B28" t="s">
        <v>1435</v>
      </c>
      <c r="C28" s="268"/>
      <c r="D28" t="s">
        <v>444</v>
      </c>
    </row>
    <row r="29" spans="1:7">
      <c r="A29" s="258"/>
      <c r="B29" t="s">
        <v>1436</v>
      </c>
      <c r="C29"/>
      <c r="D29" t="s">
        <v>444</v>
      </c>
    </row>
    <row r="30" spans="1:7">
      <c r="A30" s="258" t="s">
        <v>1437</v>
      </c>
      <c r="B30" s="264" t="s">
        <v>1438</v>
      </c>
      <c r="C30" s="268">
        <v>1</v>
      </c>
      <c r="D30" t="s">
        <v>405</v>
      </c>
    </row>
    <row r="31" spans="1:7">
      <c r="A31" s="258" t="s">
        <v>1439</v>
      </c>
      <c r="B31" s="264" t="s">
        <v>422</v>
      </c>
      <c r="C31" s="268">
        <v>1</v>
      </c>
      <c r="D31" t="s">
        <v>422</v>
      </c>
    </row>
    <row r="32" spans="1:7">
      <c r="A32" s="258" t="s">
        <v>1440</v>
      </c>
      <c r="B32" s="264" t="s">
        <v>1441</v>
      </c>
      <c r="C32" s="268">
        <v>1</v>
      </c>
      <c r="D32" t="s">
        <v>444</v>
      </c>
    </row>
    <row r="33" spans="1:7" ht="15.75" hidden="1" customHeight="1">
      <c r="A33" s="258" t="s">
        <v>1442</v>
      </c>
      <c r="B33" s="264" t="s">
        <v>1443</v>
      </c>
      <c r="C33" s="268">
        <v>3</v>
      </c>
    </row>
    <row r="34" spans="1:7" ht="15.75" hidden="1" customHeight="1">
      <c r="A34" s="258" t="s">
        <v>1444</v>
      </c>
      <c r="B34" s="264" t="s">
        <v>1445</v>
      </c>
      <c r="C34" s="268">
        <v>3</v>
      </c>
    </row>
    <row r="35" spans="1:7">
      <c r="A35" s="258" t="s">
        <v>1446</v>
      </c>
      <c r="B35" s="263" t="s">
        <v>1447</v>
      </c>
      <c r="C35" s="268">
        <v>1</v>
      </c>
    </row>
    <row r="36" spans="1:7">
      <c r="A36" s="258" t="s">
        <v>1448</v>
      </c>
      <c r="B36" s="264" t="s">
        <v>1449</v>
      </c>
      <c r="C36" s="268">
        <v>1</v>
      </c>
      <c r="D36" t="s">
        <v>401</v>
      </c>
    </row>
    <row r="37" spans="1:7">
      <c r="A37" s="258" t="s">
        <v>1450</v>
      </c>
      <c r="B37" s="264" t="s">
        <v>1451</v>
      </c>
      <c r="C37" s="268">
        <v>1</v>
      </c>
      <c r="D37" t="s">
        <v>402</v>
      </c>
    </row>
    <row r="38" spans="1:7">
      <c r="A38" s="258" t="s">
        <v>1452</v>
      </c>
      <c r="B38" s="264" t="s">
        <v>1453</v>
      </c>
      <c r="C38" s="268">
        <v>1</v>
      </c>
      <c r="D38" t="s">
        <v>411</v>
      </c>
    </row>
    <row r="39" spans="1:7">
      <c r="A39" s="258" t="s">
        <v>1454</v>
      </c>
      <c r="B39" s="265" t="s">
        <v>1455</v>
      </c>
      <c r="C39" s="268">
        <v>1</v>
      </c>
      <c r="G39" t="s">
        <v>1456</v>
      </c>
    </row>
    <row r="40" spans="1:7">
      <c r="A40" s="258" t="s">
        <v>1457</v>
      </c>
      <c r="B40" s="265" t="s">
        <v>1458</v>
      </c>
      <c r="C40" s="268">
        <v>1</v>
      </c>
      <c r="G40" t="s">
        <v>1456</v>
      </c>
    </row>
    <row r="41" spans="1:7">
      <c r="A41" s="258" t="s">
        <v>1459</v>
      </c>
      <c r="B41" s="265" t="s">
        <v>1460</v>
      </c>
      <c r="C41" s="268">
        <v>1</v>
      </c>
      <c r="G41" t="s">
        <v>1456</v>
      </c>
    </row>
    <row r="42" spans="1:7">
      <c r="A42" s="258" t="s">
        <v>1461</v>
      </c>
      <c r="B42" s="265" t="s">
        <v>1462</v>
      </c>
      <c r="C42" s="268">
        <v>1</v>
      </c>
      <c r="G42" t="s">
        <v>1456</v>
      </c>
    </row>
    <row r="43" spans="1:7">
      <c r="A43" s="258" t="s">
        <v>1463</v>
      </c>
      <c r="B43" s="265" t="s">
        <v>1464</v>
      </c>
      <c r="C43" s="268">
        <v>1</v>
      </c>
      <c r="G43" t="s">
        <v>1456</v>
      </c>
    </row>
    <row r="44" spans="1:7">
      <c r="A44" s="258" t="s">
        <v>1465</v>
      </c>
      <c r="B44" s="265" t="s">
        <v>1466</v>
      </c>
      <c r="C44" s="268">
        <v>1</v>
      </c>
      <c r="G44" t="s">
        <v>1456</v>
      </c>
    </row>
    <row r="45" spans="1:7">
      <c r="A45" s="258" t="s">
        <v>1467</v>
      </c>
      <c r="B45" s="265" t="s">
        <v>1468</v>
      </c>
      <c r="C45" s="268">
        <v>1</v>
      </c>
      <c r="G45" t="s">
        <v>1456</v>
      </c>
    </row>
    <row r="46" spans="1:7">
      <c r="A46" s="258" t="s">
        <v>1469</v>
      </c>
      <c r="B46" s="265" t="s">
        <v>1470</v>
      </c>
      <c r="C46" s="268">
        <v>1</v>
      </c>
      <c r="G46" t="s">
        <v>1456</v>
      </c>
    </row>
    <row r="47" spans="1:7">
      <c r="A47" s="258" t="s">
        <v>1471</v>
      </c>
      <c r="B47" s="265" t="s">
        <v>1472</v>
      </c>
      <c r="C47" s="268">
        <v>1</v>
      </c>
      <c r="G47" t="s">
        <v>1456</v>
      </c>
    </row>
    <row r="48" spans="1:7">
      <c r="A48" s="258" t="s">
        <v>1473</v>
      </c>
      <c r="B48" s="264" t="s">
        <v>1474</v>
      </c>
      <c r="C48" s="268">
        <v>1</v>
      </c>
      <c r="D48" t="s">
        <v>409</v>
      </c>
    </row>
    <row r="49" spans="1:7">
      <c r="A49" s="258" t="s">
        <v>1475</v>
      </c>
      <c r="B49" s="264" t="s">
        <v>1476</v>
      </c>
      <c r="C49" s="268">
        <v>1</v>
      </c>
      <c r="D49" t="s">
        <v>29</v>
      </c>
    </row>
    <row r="50" spans="1:7" ht="20">
      <c r="A50" s="258" t="s">
        <v>1477</v>
      </c>
      <c r="B50" s="265" t="s">
        <v>1478</v>
      </c>
      <c r="C50" s="268">
        <v>1</v>
      </c>
      <c r="G50" t="s">
        <v>1479</v>
      </c>
    </row>
    <row r="51" spans="1:7">
      <c r="A51" s="258" t="s">
        <v>1480</v>
      </c>
      <c r="B51" s="265" t="s">
        <v>1481</v>
      </c>
      <c r="C51" s="268">
        <v>1</v>
      </c>
      <c r="G51" t="s">
        <v>1479</v>
      </c>
    </row>
    <row r="52" spans="1:7" ht="25">
      <c r="A52" s="258" t="s">
        <v>1482</v>
      </c>
      <c r="B52" s="266" t="s">
        <v>1483</v>
      </c>
      <c r="C52" s="268">
        <v>1</v>
      </c>
      <c r="G52" t="s">
        <v>1479</v>
      </c>
    </row>
    <row r="53" spans="1:7" ht="25">
      <c r="A53" s="258" t="s">
        <v>1484</v>
      </c>
      <c r="B53" s="266" t="s">
        <v>1485</v>
      </c>
      <c r="C53" s="268">
        <v>1</v>
      </c>
      <c r="G53" t="s">
        <v>1479</v>
      </c>
    </row>
    <row r="54" spans="1:7">
      <c r="A54" s="258" t="s">
        <v>1486</v>
      </c>
      <c r="B54" s="265" t="s">
        <v>1487</v>
      </c>
      <c r="C54" s="268">
        <v>1</v>
      </c>
      <c r="G54" t="s">
        <v>1479</v>
      </c>
    </row>
    <row r="55" spans="1:7">
      <c r="A55" s="258" t="s">
        <v>1488</v>
      </c>
      <c r="B55" s="265" t="s">
        <v>1489</v>
      </c>
      <c r="C55" s="268">
        <v>1</v>
      </c>
      <c r="G55" t="s">
        <v>1479</v>
      </c>
    </row>
    <row r="56" spans="1:7" ht="25">
      <c r="A56" s="258" t="s">
        <v>1490</v>
      </c>
      <c r="B56" s="266" t="s">
        <v>1491</v>
      </c>
      <c r="C56" s="268">
        <v>1</v>
      </c>
      <c r="G56" t="s">
        <v>1479</v>
      </c>
    </row>
    <row r="57" spans="1:7" ht="25">
      <c r="A57" s="258" t="s">
        <v>1492</v>
      </c>
      <c r="B57" s="266" t="s">
        <v>1493</v>
      </c>
      <c r="C57" s="268">
        <v>1</v>
      </c>
      <c r="G57" t="s">
        <v>1479</v>
      </c>
    </row>
    <row r="58" spans="1:7" ht="25">
      <c r="A58" s="258" t="s">
        <v>1494</v>
      </c>
      <c r="B58" s="266" t="s">
        <v>1495</v>
      </c>
      <c r="C58" s="268">
        <v>1</v>
      </c>
      <c r="G58" t="s">
        <v>1479</v>
      </c>
    </row>
    <row r="59" spans="1:7">
      <c r="A59" s="258" t="s">
        <v>1496</v>
      </c>
      <c r="B59" s="264" t="s">
        <v>406</v>
      </c>
      <c r="C59" s="268">
        <v>1</v>
      </c>
      <c r="D59" t="s">
        <v>406</v>
      </c>
    </row>
    <row r="60" spans="1:7" ht="20">
      <c r="A60" s="258" t="s">
        <v>1497</v>
      </c>
      <c r="B60" s="265" t="s">
        <v>1478</v>
      </c>
      <c r="C60" s="268">
        <v>1</v>
      </c>
      <c r="G60" t="s">
        <v>1498</v>
      </c>
    </row>
    <row r="61" spans="1:7">
      <c r="A61" s="258" t="s">
        <v>1499</v>
      </c>
      <c r="B61" s="265" t="s">
        <v>1500</v>
      </c>
      <c r="C61" s="268">
        <v>1</v>
      </c>
      <c r="G61" t="s">
        <v>1498</v>
      </c>
    </row>
    <row r="62" spans="1:7">
      <c r="A62" s="258" t="s">
        <v>1501</v>
      </c>
      <c r="B62" s="265" t="s">
        <v>1487</v>
      </c>
      <c r="C62" s="268">
        <v>1</v>
      </c>
      <c r="G62" t="s">
        <v>1498</v>
      </c>
    </row>
    <row r="63" spans="1:7">
      <c r="A63" s="258" t="s">
        <v>1502</v>
      </c>
      <c r="B63" s="264" t="s">
        <v>403</v>
      </c>
      <c r="C63" s="268">
        <v>1</v>
      </c>
      <c r="D63" t="s">
        <v>403</v>
      </c>
    </row>
    <row r="64" spans="1:7" ht="20">
      <c r="A64" s="258" t="s">
        <v>1503</v>
      </c>
      <c r="B64" s="265" t="s">
        <v>1478</v>
      </c>
      <c r="C64" s="268">
        <v>1</v>
      </c>
      <c r="D64" t="s">
        <v>1400</v>
      </c>
      <c r="G64" t="s">
        <v>1504</v>
      </c>
    </row>
    <row r="65" spans="1:7">
      <c r="A65" s="258" t="s">
        <v>1505</v>
      </c>
      <c r="B65" s="265" t="s">
        <v>1506</v>
      </c>
      <c r="C65" s="268">
        <v>1</v>
      </c>
      <c r="D65" t="s">
        <v>1400</v>
      </c>
      <c r="G65" t="s">
        <v>1504</v>
      </c>
    </row>
    <row r="66" spans="1:7" ht="25">
      <c r="A66" s="258" t="s">
        <v>1507</v>
      </c>
      <c r="B66" s="266" t="s">
        <v>1508</v>
      </c>
      <c r="C66" s="268">
        <v>1</v>
      </c>
      <c r="D66" t="s">
        <v>1400</v>
      </c>
      <c r="G66" t="s">
        <v>1504</v>
      </c>
    </row>
    <row r="67" spans="1:7">
      <c r="A67" s="258" t="s">
        <v>1509</v>
      </c>
      <c r="B67" s="265" t="s">
        <v>1487</v>
      </c>
      <c r="C67" s="268">
        <v>1</v>
      </c>
      <c r="D67" t="s">
        <v>1400</v>
      </c>
      <c r="G67" t="s">
        <v>1504</v>
      </c>
    </row>
    <row r="68" spans="1:7">
      <c r="A68" s="258" t="s">
        <v>1510</v>
      </c>
      <c r="B68" s="264" t="s">
        <v>1511</v>
      </c>
      <c r="C68" s="268">
        <v>1</v>
      </c>
      <c r="D68" t="s">
        <v>486</v>
      </c>
    </row>
    <row r="69" spans="1:7">
      <c r="A69" s="258" t="s">
        <v>1512</v>
      </c>
      <c r="B69" s="265" t="s">
        <v>1513</v>
      </c>
      <c r="C69" s="268">
        <v>1</v>
      </c>
      <c r="D69" t="s">
        <v>408</v>
      </c>
    </row>
    <row r="70" spans="1:7">
      <c r="A70" s="258" t="s">
        <v>1514</v>
      </c>
      <c r="B70" s="265" t="s">
        <v>1515</v>
      </c>
      <c r="C70" s="268">
        <v>1</v>
      </c>
      <c r="D70" s="269" t="s">
        <v>1516</v>
      </c>
    </row>
    <row r="71" spans="1:7">
      <c r="A71" s="258" t="s">
        <v>1517</v>
      </c>
      <c r="B71" s="265" t="s">
        <v>1518</v>
      </c>
      <c r="C71" s="268">
        <v>1</v>
      </c>
      <c r="D71" t="s">
        <v>408</v>
      </c>
    </row>
    <row r="72" spans="1:7" ht="25">
      <c r="A72" s="258" t="s">
        <v>1519</v>
      </c>
      <c r="B72" s="266" t="s">
        <v>1520</v>
      </c>
      <c r="C72" s="268">
        <v>1</v>
      </c>
      <c r="G72" t="s">
        <v>1521</v>
      </c>
    </row>
    <row r="73" spans="1:7" ht="25">
      <c r="A73" s="258" t="s">
        <v>1522</v>
      </c>
      <c r="B73" s="266" t="s">
        <v>1523</v>
      </c>
      <c r="C73" s="268">
        <v>1</v>
      </c>
      <c r="G73" t="s">
        <v>1521</v>
      </c>
    </row>
    <row r="74" spans="1:7" ht="25">
      <c r="A74" s="258" t="s">
        <v>1524</v>
      </c>
      <c r="B74" s="266" t="s">
        <v>1525</v>
      </c>
      <c r="C74" s="268">
        <v>1</v>
      </c>
      <c r="G74" t="s">
        <v>1521</v>
      </c>
    </row>
    <row r="75" spans="1:7" ht="25">
      <c r="A75" s="258" t="s">
        <v>1526</v>
      </c>
      <c r="B75" s="266" t="s">
        <v>1527</v>
      </c>
      <c r="C75" s="268">
        <v>1</v>
      </c>
      <c r="G75" t="s">
        <v>1521</v>
      </c>
    </row>
    <row r="76" spans="1:7" ht="25">
      <c r="A76" s="258" t="s">
        <v>1528</v>
      </c>
      <c r="B76" s="266" t="s">
        <v>1529</v>
      </c>
      <c r="C76" s="268">
        <v>1</v>
      </c>
      <c r="G76" t="s">
        <v>1521</v>
      </c>
    </row>
    <row r="77" spans="1:7" ht="25">
      <c r="A77" s="258" t="s">
        <v>1530</v>
      </c>
      <c r="B77" s="266" t="s">
        <v>1531</v>
      </c>
      <c r="C77" s="268">
        <v>1</v>
      </c>
      <c r="G77" t="s">
        <v>1521</v>
      </c>
    </row>
    <row r="78" spans="1:7" ht="25">
      <c r="A78" s="258" t="s">
        <v>1532</v>
      </c>
      <c r="B78" s="266" t="s">
        <v>1533</v>
      </c>
      <c r="C78" s="268">
        <v>1</v>
      </c>
      <c r="G78" t="s">
        <v>1521</v>
      </c>
    </row>
    <row r="79" spans="1:7" ht="25">
      <c r="A79" s="258" t="s">
        <v>1534</v>
      </c>
      <c r="B79" s="266" t="s">
        <v>1535</v>
      </c>
      <c r="C79" s="268">
        <v>1</v>
      </c>
      <c r="G79" t="s">
        <v>1521</v>
      </c>
    </row>
    <row r="80" spans="1:7" ht="25">
      <c r="A80" s="258" t="s">
        <v>1536</v>
      </c>
      <c r="B80" s="266" t="s">
        <v>1537</v>
      </c>
      <c r="C80" s="268">
        <v>1</v>
      </c>
      <c r="G80" t="s">
        <v>1521</v>
      </c>
    </row>
    <row r="81" spans="1:7" ht="25">
      <c r="A81" s="258" t="s">
        <v>1538</v>
      </c>
      <c r="B81" s="266" t="s">
        <v>1539</v>
      </c>
      <c r="C81" s="268">
        <v>1</v>
      </c>
      <c r="G81" t="s">
        <v>1521</v>
      </c>
    </row>
    <row r="82" spans="1:7" ht="25">
      <c r="A82" s="258" t="s">
        <v>1540</v>
      </c>
      <c r="B82" s="266" t="s">
        <v>1541</v>
      </c>
      <c r="C82" s="268">
        <v>1</v>
      </c>
      <c r="G82" t="s">
        <v>1521</v>
      </c>
    </row>
    <row r="83" spans="1:7" ht="25">
      <c r="A83" s="258" t="s">
        <v>1542</v>
      </c>
      <c r="B83" s="266" t="s">
        <v>1543</v>
      </c>
      <c r="C83" s="268">
        <v>1</v>
      </c>
      <c r="G83" t="s">
        <v>1521</v>
      </c>
    </row>
    <row r="84" spans="1:7" ht="25">
      <c r="A84" s="258" t="s">
        <v>1544</v>
      </c>
      <c r="B84" s="266" t="s">
        <v>1545</v>
      </c>
      <c r="C84" s="268">
        <v>1</v>
      </c>
      <c r="G84" t="s">
        <v>1521</v>
      </c>
    </row>
    <row r="85" spans="1:7">
      <c r="A85" s="258" t="s">
        <v>1546</v>
      </c>
      <c r="B85" s="265" t="s">
        <v>1547</v>
      </c>
      <c r="C85" s="268">
        <v>1</v>
      </c>
      <c r="D85" t="s">
        <v>426</v>
      </c>
    </row>
    <row r="86" spans="1:7">
      <c r="A86" s="258" t="s">
        <v>1548</v>
      </c>
      <c r="B86" s="265" t="s">
        <v>1549</v>
      </c>
      <c r="C86" s="268">
        <v>1</v>
      </c>
      <c r="D86" t="s">
        <v>426</v>
      </c>
    </row>
    <row r="87" spans="1:7">
      <c r="A87" s="258" t="s">
        <v>1550</v>
      </c>
      <c r="B87" s="265" t="s">
        <v>1551</v>
      </c>
      <c r="C87" s="268">
        <v>1</v>
      </c>
      <c r="D87" t="s">
        <v>424</v>
      </c>
    </row>
    <row r="88" spans="1:7">
      <c r="A88" s="258" t="s">
        <v>1552</v>
      </c>
      <c r="B88" s="265" t="s">
        <v>1553</v>
      </c>
      <c r="C88" s="268">
        <v>1</v>
      </c>
      <c r="D88" s="269" t="s">
        <v>1554</v>
      </c>
    </row>
    <row r="89" spans="1:7">
      <c r="A89" s="258" t="s">
        <v>1555</v>
      </c>
      <c r="B89" s="265" t="s">
        <v>1556</v>
      </c>
      <c r="C89" s="268">
        <v>1</v>
      </c>
    </row>
    <row r="90" spans="1:7" ht="25">
      <c r="A90" s="258" t="s">
        <v>1557</v>
      </c>
      <c r="B90" s="266" t="s">
        <v>1558</v>
      </c>
      <c r="C90" s="268">
        <v>1</v>
      </c>
      <c r="D90" t="s">
        <v>396</v>
      </c>
    </row>
    <row r="91" spans="1:7" ht="25">
      <c r="A91" s="258" t="s">
        <v>1559</v>
      </c>
      <c r="B91" s="266" t="s">
        <v>1560</v>
      </c>
      <c r="C91" s="268">
        <v>1</v>
      </c>
      <c r="D91" t="s">
        <v>396</v>
      </c>
    </row>
    <row r="92" spans="1:7" ht="25">
      <c r="A92" s="258" t="s">
        <v>1561</v>
      </c>
      <c r="B92" s="266" t="s">
        <v>1562</v>
      </c>
      <c r="C92" s="268">
        <v>1</v>
      </c>
      <c r="D92" t="s">
        <v>396</v>
      </c>
    </row>
    <row r="93" spans="1:7" ht="25">
      <c r="A93" s="258" t="s">
        <v>1563</v>
      </c>
      <c r="B93" s="266" t="s">
        <v>1564</v>
      </c>
      <c r="C93" s="268">
        <v>1</v>
      </c>
    </row>
    <row r="94" spans="1:7" ht="25">
      <c r="A94" s="258" t="s">
        <v>1565</v>
      </c>
      <c r="B94" s="266" t="s">
        <v>1566</v>
      </c>
      <c r="C94" s="268">
        <v>1</v>
      </c>
    </row>
    <row r="95" spans="1:7" ht="25">
      <c r="A95" s="258" t="s">
        <v>1567</v>
      </c>
      <c r="B95" s="266" t="s">
        <v>1568</v>
      </c>
      <c r="C95" s="268">
        <v>1</v>
      </c>
    </row>
    <row r="96" spans="1:7" ht="22.5" hidden="1" customHeight="1">
      <c r="A96" s="258" t="s">
        <v>1569</v>
      </c>
      <c r="B96" s="266" t="s">
        <v>1570</v>
      </c>
      <c r="C96" s="268">
        <v>3</v>
      </c>
    </row>
    <row r="97" spans="1:7">
      <c r="A97" s="258" t="s">
        <v>1571</v>
      </c>
      <c r="B97" s="265" t="s">
        <v>1572</v>
      </c>
      <c r="C97" s="268">
        <v>1</v>
      </c>
    </row>
    <row r="98" spans="1:7" ht="25">
      <c r="A98" s="258" t="s">
        <v>1573</v>
      </c>
      <c r="B98" s="266" t="s">
        <v>1574</v>
      </c>
      <c r="C98" s="268">
        <v>1</v>
      </c>
      <c r="D98" t="s">
        <v>447</v>
      </c>
    </row>
    <row r="99" spans="1:7" ht="25">
      <c r="A99" s="258" t="s">
        <v>1575</v>
      </c>
      <c r="B99" s="266" t="s">
        <v>1576</v>
      </c>
      <c r="C99" s="268">
        <v>1</v>
      </c>
    </row>
    <row r="100" spans="1:7" ht="25">
      <c r="A100" s="258" t="s">
        <v>1577</v>
      </c>
      <c r="B100" s="266" t="s">
        <v>1578</v>
      </c>
      <c r="C100" s="268">
        <v>1</v>
      </c>
      <c r="D100" t="s">
        <v>415</v>
      </c>
    </row>
    <row r="101" spans="1:7" ht="25">
      <c r="A101" s="258" t="s">
        <v>1579</v>
      </c>
      <c r="B101" s="266" t="s">
        <v>1580</v>
      </c>
      <c r="C101" s="268">
        <v>1</v>
      </c>
      <c r="D101" t="s">
        <v>421</v>
      </c>
    </row>
    <row r="102" spans="1:7" ht="25">
      <c r="A102" s="258" t="s">
        <v>1581</v>
      </c>
      <c r="B102" s="266" t="s">
        <v>1582</v>
      </c>
      <c r="C102" s="268">
        <v>1</v>
      </c>
      <c r="D102" t="s">
        <v>421</v>
      </c>
    </row>
    <row r="103" spans="1:7" ht="25">
      <c r="A103" s="258" t="s">
        <v>1583</v>
      </c>
      <c r="B103" s="266" t="s">
        <v>1584</v>
      </c>
      <c r="C103" s="268">
        <v>1</v>
      </c>
    </row>
    <row r="104" spans="1:7">
      <c r="A104" s="258" t="s">
        <v>1585</v>
      </c>
      <c r="B104" s="265" t="s">
        <v>1586</v>
      </c>
      <c r="C104" s="268">
        <v>1</v>
      </c>
    </row>
    <row r="105" spans="1:7" ht="25">
      <c r="A105" s="258" t="s">
        <v>1587</v>
      </c>
      <c r="B105" s="266" t="s">
        <v>1588</v>
      </c>
      <c r="C105" s="268">
        <v>1</v>
      </c>
    </row>
    <row r="106" spans="1:7" ht="25">
      <c r="A106" s="258" t="s">
        <v>1589</v>
      </c>
      <c r="B106" s="266" t="s">
        <v>1590</v>
      </c>
      <c r="C106" s="268">
        <v>1</v>
      </c>
    </row>
    <row r="107" spans="1:7" ht="25">
      <c r="A107" s="258" t="s">
        <v>1591</v>
      </c>
      <c r="B107" s="266" t="s">
        <v>1592</v>
      </c>
      <c r="C107" s="268">
        <v>1</v>
      </c>
      <c r="D107" t="s">
        <v>418</v>
      </c>
    </row>
    <row r="108" spans="1:7" ht="25">
      <c r="A108" s="258" t="s">
        <v>1593</v>
      </c>
      <c r="B108" s="266" t="s">
        <v>427</v>
      </c>
      <c r="C108" s="268">
        <v>1</v>
      </c>
      <c r="D108" t="s">
        <v>427</v>
      </c>
    </row>
    <row r="109" spans="1:7">
      <c r="A109" s="258" t="s">
        <v>1594</v>
      </c>
      <c r="B109" s="265" t="s">
        <v>1595</v>
      </c>
      <c r="C109" s="268">
        <v>1</v>
      </c>
      <c r="D109" t="s">
        <v>419</v>
      </c>
    </row>
    <row r="110" spans="1:7" ht="25">
      <c r="A110" s="258" t="s">
        <v>1596</v>
      </c>
      <c r="B110" s="266" t="s">
        <v>1597</v>
      </c>
      <c r="C110" s="268">
        <v>1</v>
      </c>
      <c r="G110" t="s">
        <v>1598</v>
      </c>
    </row>
    <row r="111" spans="1:7">
      <c r="A111" s="258" t="s">
        <v>1599</v>
      </c>
      <c r="B111" s="265" t="s">
        <v>1489</v>
      </c>
      <c r="C111" s="268">
        <v>1</v>
      </c>
      <c r="D111" t="s">
        <v>444</v>
      </c>
    </row>
    <row r="112" spans="1:7" ht="25">
      <c r="A112" s="258" t="s">
        <v>1600</v>
      </c>
      <c r="B112" s="266" t="s">
        <v>931</v>
      </c>
      <c r="C112" s="268">
        <v>1</v>
      </c>
      <c r="D112" t="s">
        <v>444</v>
      </c>
    </row>
    <row r="113" spans="1:4" ht="25">
      <c r="A113" s="258" t="s">
        <v>1601</v>
      </c>
      <c r="B113" s="266" t="s">
        <v>1602</v>
      </c>
      <c r="C113" s="268">
        <v>1</v>
      </c>
      <c r="D113" t="s">
        <v>444</v>
      </c>
    </row>
    <row r="114" spans="1:4" ht="25">
      <c r="A114" s="258" t="s">
        <v>1603</v>
      </c>
      <c r="B114" s="266" t="s">
        <v>1604</v>
      </c>
      <c r="C114" s="268">
        <v>1</v>
      </c>
      <c r="D114" t="s">
        <v>444</v>
      </c>
    </row>
    <row r="115" spans="1:4">
      <c r="A115" s="258" t="s">
        <v>1605</v>
      </c>
      <c r="B115" s="263" t="s">
        <v>1606</v>
      </c>
      <c r="C115" s="268">
        <v>1</v>
      </c>
    </row>
    <row r="116" spans="1:4">
      <c r="A116" s="258" t="s">
        <v>1607</v>
      </c>
      <c r="B116" s="264" t="s">
        <v>1608</v>
      </c>
      <c r="C116" s="268">
        <v>1</v>
      </c>
      <c r="D116" t="s">
        <v>432</v>
      </c>
    </row>
    <row r="117" spans="1:4">
      <c r="A117" s="258" t="s">
        <v>1609</v>
      </c>
      <c r="B117" s="264" t="s">
        <v>1610</v>
      </c>
      <c r="C117" s="268">
        <v>1</v>
      </c>
      <c r="D117" t="s">
        <v>381</v>
      </c>
    </row>
    <row r="118" spans="1:4">
      <c r="A118" s="258" t="s">
        <v>1611</v>
      </c>
      <c r="B118" s="264" t="s">
        <v>1612</v>
      </c>
      <c r="C118" s="268">
        <v>1</v>
      </c>
      <c r="D118" t="s">
        <v>383</v>
      </c>
    </row>
    <row r="119" spans="1:4">
      <c r="A119" s="258" t="s">
        <v>1613</v>
      </c>
      <c r="B119" s="265" t="s">
        <v>1614</v>
      </c>
      <c r="C119" s="268">
        <v>1</v>
      </c>
    </row>
    <row r="120" spans="1:4">
      <c r="A120" s="258" t="s">
        <v>1615</v>
      </c>
      <c r="B120" s="265" t="s">
        <v>1616</v>
      </c>
      <c r="C120" s="268">
        <v>1</v>
      </c>
    </row>
    <row r="121" spans="1:4">
      <c r="A121" s="258" t="s">
        <v>1617</v>
      </c>
      <c r="B121" s="265" t="s">
        <v>1618</v>
      </c>
      <c r="C121" s="268">
        <v>1</v>
      </c>
    </row>
    <row r="122" spans="1:4">
      <c r="A122" s="258" t="s">
        <v>1619</v>
      </c>
      <c r="B122" s="265" t="s">
        <v>1620</v>
      </c>
      <c r="C122" s="268">
        <v>1</v>
      </c>
    </row>
    <row r="123" spans="1:4">
      <c r="A123" s="258" t="s">
        <v>1621</v>
      </c>
      <c r="B123" s="265" t="s">
        <v>1622</v>
      </c>
      <c r="C123" s="268">
        <v>1</v>
      </c>
    </row>
    <row r="124" spans="1:4">
      <c r="A124" s="258" t="s">
        <v>1623</v>
      </c>
      <c r="B124" s="264" t="s">
        <v>1624</v>
      </c>
      <c r="C124" s="268">
        <v>1</v>
      </c>
      <c r="D124" t="s">
        <v>383</v>
      </c>
    </row>
    <row r="125" spans="1:4">
      <c r="A125" s="258" t="s">
        <v>1625</v>
      </c>
      <c r="B125" s="265" t="s">
        <v>1614</v>
      </c>
      <c r="C125" s="268">
        <v>1</v>
      </c>
    </row>
    <row r="126" spans="1:4">
      <c r="A126" s="258" t="s">
        <v>1626</v>
      </c>
      <c r="B126" s="265" t="s">
        <v>1616</v>
      </c>
      <c r="C126" s="268">
        <v>1</v>
      </c>
    </row>
    <row r="127" spans="1:4">
      <c r="A127" s="258" t="s">
        <v>1627</v>
      </c>
      <c r="B127" s="265" t="s">
        <v>1628</v>
      </c>
      <c r="C127" s="268">
        <v>1</v>
      </c>
    </row>
    <row r="128" spans="1:4">
      <c r="A128" s="258" t="s">
        <v>1629</v>
      </c>
      <c r="B128" s="265" t="s">
        <v>1620</v>
      </c>
      <c r="C128" s="268">
        <v>1</v>
      </c>
    </row>
    <row r="129" spans="1:3">
      <c r="A129" s="258" t="s">
        <v>1630</v>
      </c>
      <c r="B129" s="265" t="s">
        <v>1622</v>
      </c>
      <c r="C129" s="268">
        <v>1</v>
      </c>
    </row>
    <row r="130" spans="1:3">
      <c r="A130" s="258" t="s">
        <v>1631</v>
      </c>
      <c r="B130" s="264" t="s">
        <v>1632</v>
      </c>
      <c r="C130" s="268">
        <v>1</v>
      </c>
    </row>
    <row r="131" spans="1:3">
      <c r="A131" s="258" t="s">
        <v>1633</v>
      </c>
      <c r="B131" s="264" t="s">
        <v>1489</v>
      </c>
      <c r="C131" s="268">
        <v>1</v>
      </c>
    </row>
    <row r="132" spans="1:3">
      <c r="A132" s="258" t="s">
        <v>1634</v>
      </c>
      <c r="B132" s="265" t="s">
        <v>1635</v>
      </c>
      <c r="C132" s="268">
        <v>1</v>
      </c>
    </row>
    <row r="133" spans="1:3">
      <c r="A133" s="258" t="s">
        <v>1636</v>
      </c>
      <c r="B133" s="265" t="s">
        <v>1637</v>
      </c>
      <c r="C133" s="268">
        <v>1</v>
      </c>
    </row>
    <row r="134" spans="1:3">
      <c r="A134" s="258" t="s">
        <v>1638</v>
      </c>
      <c r="B134" s="265" t="s">
        <v>34</v>
      </c>
      <c r="C134" s="268">
        <v>1</v>
      </c>
    </row>
    <row r="135" spans="1:3">
      <c r="A135" s="258" t="s">
        <v>1639</v>
      </c>
      <c r="B135" s="263" t="s">
        <v>1640</v>
      </c>
      <c r="C135" s="268">
        <v>1</v>
      </c>
    </row>
    <row r="136" spans="1:3">
      <c r="A136" s="258" t="s">
        <v>1641</v>
      </c>
      <c r="B136" s="264" t="s">
        <v>1642</v>
      </c>
      <c r="C136" s="268">
        <v>1</v>
      </c>
    </row>
    <row r="137" spans="1:3">
      <c r="A137" s="258" t="s">
        <v>1643</v>
      </c>
      <c r="B137" s="264" t="s">
        <v>1592</v>
      </c>
      <c r="C137" s="268">
        <v>1</v>
      </c>
    </row>
    <row r="138" spans="1:3">
      <c r="A138" s="258" t="s">
        <v>1644</v>
      </c>
      <c r="B138" s="264" t="s">
        <v>1645</v>
      </c>
      <c r="C138" s="268">
        <v>1</v>
      </c>
    </row>
    <row r="139" spans="1:3">
      <c r="A139" s="258" t="s">
        <v>1646</v>
      </c>
      <c r="B139" s="264" t="s">
        <v>1647</v>
      </c>
      <c r="C139" s="268">
        <v>1</v>
      </c>
    </row>
    <row r="140" spans="1:3">
      <c r="A140" s="258" t="s">
        <v>1648</v>
      </c>
      <c r="B140" s="264" t="s">
        <v>1588</v>
      </c>
      <c r="C140" s="268">
        <v>1</v>
      </c>
    </row>
    <row r="141" spans="1:3">
      <c r="A141" s="258" t="s">
        <v>1649</v>
      </c>
      <c r="B141" s="263" t="s">
        <v>1650</v>
      </c>
      <c r="C141" s="268">
        <v>1</v>
      </c>
    </row>
    <row r="142" spans="1:3">
      <c r="A142" s="258" t="s">
        <v>1651</v>
      </c>
      <c r="B142" s="263" t="s">
        <v>1652</v>
      </c>
      <c r="C142" s="268"/>
    </row>
    <row r="143" spans="1:3">
      <c r="A143" s="258" t="s">
        <v>1653</v>
      </c>
      <c r="B143" s="264" t="s">
        <v>1387</v>
      </c>
      <c r="C143" s="268">
        <v>1</v>
      </c>
    </row>
    <row r="144" spans="1:3">
      <c r="A144" s="258" t="s">
        <v>1654</v>
      </c>
      <c r="B144" s="264" t="s">
        <v>1425</v>
      </c>
      <c r="C144" s="268">
        <v>1</v>
      </c>
    </row>
    <row r="145" spans="1:3">
      <c r="A145" s="258" t="s">
        <v>1655</v>
      </c>
      <c r="B145" s="263" t="s">
        <v>1656</v>
      </c>
      <c r="C145" s="268">
        <v>1</v>
      </c>
    </row>
    <row r="146" spans="1:3">
      <c r="A146" s="258" t="s">
        <v>1657</v>
      </c>
      <c r="B146" s="264" t="s">
        <v>1658</v>
      </c>
      <c r="C146" s="268">
        <v>1</v>
      </c>
    </row>
    <row r="147" spans="1:3">
      <c r="A147" s="258" t="s">
        <v>1659</v>
      </c>
      <c r="B147" s="264" t="s">
        <v>1660</v>
      </c>
      <c r="C147" s="268">
        <v>1</v>
      </c>
    </row>
    <row r="148" spans="1:3">
      <c r="A148" s="258" t="s">
        <v>1661</v>
      </c>
      <c r="B148" s="264" t="s">
        <v>1662</v>
      </c>
      <c r="C148" s="268">
        <v>1</v>
      </c>
    </row>
    <row r="149" spans="1:3">
      <c r="A149" s="258" t="s">
        <v>1663</v>
      </c>
      <c r="B149" s="263" t="s">
        <v>1664</v>
      </c>
      <c r="C149" s="268">
        <v>1</v>
      </c>
    </row>
    <row r="150" spans="1:3">
      <c r="A150" s="258" t="s">
        <v>293</v>
      </c>
      <c r="B150" s="264" t="s">
        <v>1665</v>
      </c>
      <c r="C150" s="268">
        <v>1</v>
      </c>
    </row>
    <row r="151" spans="1:3">
      <c r="A151" s="258" t="s">
        <v>295</v>
      </c>
      <c r="B151" s="264" t="s">
        <v>294</v>
      </c>
      <c r="C151" s="268">
        <v>1</v>
      </c>
    </row>
    <row r="152" spans="1:3">
      <c r="A152" s="258" t="s">
        <v>1666</v>
      </c>
      <c r="B152" s="264" t="s">
        <v>453</v>
      </c>
      <c r="C152" s="268">
        <v>1</v>
      </c>
    </row>
    <row r="153" spans="1:3">
      <c r="A153" s="258" t="s">
        <v>297</v>
      </c>
      <c r="B153" s="264" t="s">
        <v>296</v>
      </c>
      <c r="C153" s="268">
        <v>1</v>
      </c>
    </row>
    <row r="154" spans="1:3">
      <c r="A154" s="258" t="s">
        <v>1667</v>
      </c>
      <c r="B154" s="264" t="s">
        <v>1668</v>
      </c>
      <c r="C154" s="268">
        <v>1</v>
      </c>
    </row>
    <row r="155" spans="1:3">
      <c r="A155" s="258" t="s">
        <v>1669</v>
      </c>
      <c r="B155" s="264" t="s">
        <v>281</v>
      </c>
      <c r="C155" s="268">
        <v>1</v>
      </c>
    </row>
    <row r="156" spans="1:3">
      <c r="A156" s="258" t="s">
        <v>1670</v>
      </c>
      <c r="B156" s="264" t="s">
        <v>1671</v>
      </c>
      <c r="C156" s="268">
        <v>1</v>
      </c>
    </row>
    <row r="157" spans="1:3">
      <c r="A157" s="258" t="s">
        <v>1672</v>
      </c>
      <c r="B157" s="264" t="s">
        <v>282</v>
      </c>
      <c r="C157" s="268">
        <v>1</v>
      </c>
    </row>
    <row r="158" spans="1:3">
      <c r="A158" s="258" t="s">
        <v>1673</v>
      </c>
      <c r="B158" s="264" t="s">
        <v>1674</v>
      </c>
      <c r="C158" s="268">
        <v>1</v>
      </c>
    </row>
    <row r="159" spans="1:3">
      <c r="A159" s="258" t="s">
        <v>1675</v>
      </c>
      <c r="B159" s="264" t="s">
        <v>307</v>
      </c>
      <c r="C159" s="268">
        <v>1</v>
      </c>
    </row>
    <row r="160" spans="1:3">
      <c r="A160" s="258" t="s">
        <v>1676</v>
      </c>
      <c r="B160" s="264" t="s">
        <v>1677</v>
      </c>
      <c r="C160" s="268">
        <v>1</v>
      </c>
    </row>
    <row r="161" spans="1:3" ht="25">
      <c r="A161" s="258" t="s">
        <v>1678</v>
      </c>
      <c r="B161" s="265" t="s">
        <v>1679</v>
      </c>
      <c r="C161" s="268">
        <v>1</v>
      </c>
    </row>
    <row r="162" spans="1:3" ht="25">
      <c r="A162" s="258" t="s">
        <v>1680</v>
      </c>
      <c r="B162" s="265" t="s">
        <v>1681</v>
      </c>
      <c r="C162" s="268">
        <v>1</v>
      </c>
    </row>
    <row r="163" spans="1:3" ht="25">
      <c r="A163" s="258" t="s">
        <v>1682</v>
      </c>
      <c r="B163" s="265" t="s">
        <v>1683</v>
      </c>
      <c r="C163" s="268">
        <v>1</v>
      </c>
    </row>
    <row r="164" spans="1:3" ht="25">
      <c r="A164" s="258" t="s">
        <v>1684</v>
      </c>
      <c r="B164" s="265" t="s">
        <v>1685</v>
      </c>
      <c r="C164" s="268">
        <v>1</v>
      </c>
    </row>
    <row r="165" spans="1:3">
      <c r="A165" s="258" t="s">
        <v>1686</v>
      </c>
      <c r="B165" s="264" t="s">
        <v>1687</v>
      </c>
      <c r="C165" s="268">
        <v>1</v>
      </c>
    </row>
    <row r="166" spans="1:3">
      <c r="A166" s="258" t="s">
        <v>1688</v>
      </c>
      <c r="B166" s="264" t="s">
        <v>1689</v>
      </c>
      <c r="C166" s="268">
        <v>1</v>
      </c>
    </row>
    <row r="167" spans="1:3" ht="25">
      <c r="A167" s="258" t="s">
        <v>1690</v>
      </c>
      <c r="B167" s="265" t="s">
        <v>1691</v>
      </c>
      <c r="C167" s="268">
        <v>1</v>
      </c>
    </row>
    <row r="168" spans="1:3" ht="25">
      <c r="A168" s="258" t="s">
        <v>1692</v>
      </c>
      <c r="B168" s="265" t="s">
        <v>1693</v>
      </c>
      <c r="C168" s="268">
        <v>1</v>
      </c>
    </row>
    <row r="169" spans="1:3" ht="25">
      <c r="A169" s="258" t="s">
        <v>1694</v>
      </c>
      <c r="B169" s="265" t="s">
        <v>1695</v>
      </c>
      <c r="C169" s="268">
        <v>1</v>
      </c>
    </row>
    <row r="170" spans="1:3" ht="25">
      <c r="A170" s="258" t="s">
        <v>1696</v>
      </c>
      <c r="B170" s="265" t="s">
        <v>1697</v>
      </c>
      <c r="C170" s="268">
        <v>1</v>
      </c>
    </row>
    <row r="171" spans="1:3" ht="25">
      <c r="A171" s="258" t="s">
        <v>1698</v>
      </c>
      <c r="B171" s="265" t="s">
        <v>1699</v>
      </c>
      <c r="C171" s="268">
        <v>1</v>
      </c>
    </row>
    <row r="172" spans="1:3" ht="25">
      <c r="A172" s="258" t="s">
        <v>1700</v>
      </c>
      <c r="B172" s="265" t="s">
        <v>1701</v>
      </c>
      <c r="C172" s="268">
        <v>1</v>
      </c>
    </row>
    <row r="173" spans="1:3" ht="25">
      <c r="A173" s="258" t="s">
        <v>1702</v>
      </c>
      <c r="B173" s="265" t="s">
        <v>1703</v>
      </c>
      <c r="C173" s="268">
        <v>1</v>
      </c>
    </row>
    <row r="174" spans="1:3">
      <c r="A174" s="258" t="s">
        <v>1704</v>
      </c>
      <c r="B174" s="263" t="s">
        <v>404</v>
      </c>
      <c r="C174" s="268">
        <v>1</v>
      </c>
    </row>
    <row r="175" spans="1:3">
      <c r="A175" s="258" t="s">
        <v>1705</v>
      </c>
      <c r="B175" s="264" t="s">
        <v>1489</v>
      </c>
      <c r="C175" s="268">
        <v>1</v>
      </c>
    </row>
    <row r="176" spans="1:3">
      <c r="A176" s="258" t="s">
        <v>1706</v>
      </c>
      <c r="B176" s="264" t="s">
        <v>1635</v>
      </c>
      <c r="C176" s="268">
        <v>1</v>
      </c>
    </row>
    <row r="177" spans="1:3">
      <c r="A177" s="258" t="s">
        <v>1707</v>
      </c>
      <c r="B177" s="264" t="s">
        <v>1637</v>
      </c>
      <c r="C177" s="268">
        <v>1</v>
      </c>
    </row>
    <row r="178" spans="1:3">
      <c r="A178" s="258" t="s">
        <v>1708</v>
      </c>
      <c r="B178" s="264" t="s">
        <v>1709</v>
      </c>
      <c r="C178" s="268">
        <v>1</v>
      </c>
    </row>
    <row r="179" spans="1:3">
      <c r="A179" s="258" t="s">
        <v>1710</v>
      </c>
      <c r="B179" s="264" t="s">
        <v>1711</v>
      </c>
      <c r="C179" s="268">
        <v>1</v>
      </c>
    </row>
    <row r="180" spans="1:3" ht="15.75" hidden="1" customHeight="1">
      <c r="A180" s="258" t="s">
        <v>1712</v>
      </c>
      <c r="B180" s="263" t="s">
        <v>1713</v>
      </c>
      <c r="C180" s="268">
        <v>3</v>
      </c>
    </row>
  </sheetData>
  <autoFilter ref="A1:C180" xr:uid="{00000000-0009-0000-0000-000010000000}">
    <filterColumn colId="2">
      <filters>
        <filter val="1"/>
      </filters>
    </filterColumn>
  </autoFilter>
  <pageMargins left="0.7" right="0.7" top="0.75" bottom="0.75" header="0.3" footer="0.3"/>
  <pageSetup orientation="portrait" r:id="rId1"/>
  <legacyDrawing r:id="rId2"/>
</worksheet>
</file>

<file path=customUI/customUI.xml><?xml version="1.0" encoding="utf-8"?>
<!-- Created with IDBE Ribbon Creator (Version: 1.1039) -->
<!--            http://www.RibbonCreator.com            -->
<!--             http://www.RibbonCreator.de            -->
<customUI xmlns="http://schemas.microsoft.com/office/2006/01/customui" onLoad="OnRibbonLoad">
  <ribbon startFromScratch="false">
    <tabs>
      <tab id="tabSapientApproach" insertBeforeMso="TabHome" label="S|A - Sapient Approach" getVisible="GetVisible">
        <group id="grpSapientApproach_GeneralFunctions" label="S|A - Functions" getVisible="GetVisible">
          <splitButton id="sbtSapientApproach_InsertRow" size="large">
            <button id="btn_sbtSapientApproach_InsertRow" imageMso="CellsInsertDialog" label="Insert Row" screentip="Insert New Row" supertip="Insert one or multiple new rows into the active sheet." tag="RibbonName:=;inMenu:=;CustomTagValue1:=;CustomTagValue2:=;CustomTagValue3:=;CustomPicture:=;CustomPicturePath:=" onAction="OnActionButton"/>
            <menu id="mnu_sbtSapientApproach_InsertRow" itemSize="normal" tag="RibbonName:=;inMenu:=;CustomTagValue1:=;CustomTagValue2:=;CustomTagValue3:=;CustomPicture:=;CustomPicturePath:=" getVisible="GetVisible" getEnabled="GetEnabled">
              <button id="btnSapientApproach_InsertRow_1" label="insert one row" imageMso="_1" tag="RibbonName:=;inMenu:=sbt10;CustomTagValue1:=;CustomTagValue2:=;CustomTagValue3:=;CustomPicture:=;CustomPicturePath:=" onAction="OnActionButton" getVisible="GetVisible" getEnabled="GetEnabled"/>
              <button id="btnSapientApproach_InsertRow_2" label="insert two rows" imageMso="_2" tag="RibbonName:=;inMenu:=sbt10;CustomTagValue1:=;CustomTagValue2:=;CustomTagValue3:=;CustomPicture:=;CustomPicturePath:=" onAction="OnActionButton" getVisible="GetVisible" getEnabled="GetEnabled"/>
              <button id="btnSapientApproach_InsertRow_3" label="insert three rows" imageMso="_3" tag="RibbonName:=;inMenu:=sbt10;CustomTagValue1:=;CustomTagValue2:=;CustomTagValue3:=;CustomPicture:=;CustomPicturePath:=" onAction="OnActionButton" getVisible="GetVisible" getEnabled="GetEnabled"/>
              <button id="btnSapientApproach_InsertRow_4" label="insert four rows" imageMso="_4" tag="RibbonName:=;inMenu:=sbt10;CustomTagValue1:=;CustomTagValue2:=;CustomTagValue3:=;CustomPicture:=;CustomPicturePath:=" onAction="OnActionButton" getVisible="GetVisible" getEnabled="GetEnabled"/>
              <button id="btnSapientApproach_InsertRow_5" label="insert five rows" imageMso="_5" tag="RibbonName:=;inMenu:=sbt10;CustomTagValue1:=;CustomTagValue2:=;CustomTagValue3:=;CustomPicture:=;CustomPicturePath:=" onAction="OnActionButton" getVisible="GetVisible" getEnabled="GetEnabled"/>
            </menu>
            <!--End menu (mnu_sbtSapientApproach_InsertRow) NOT delete this remark-->
          </splitButton>
          <!--End splitButton (sbtSapientApproach_InsertRow) NOT delete this remark-->
          <splitButton id="sbtSapientApproach_ExportStories" size="large">
            <button id="btn_sbtSapientApproach_ExportStories" imageMso="ExportExcel" label="Export Stories" screentip="Export Stories" supertip="Export the defined stories for ResultSpace 2, Resultspace 3 or Jira. (Default: ResultSpace 2)" tag="RibbonName:=;inMenu:=;CustomTagValue1:=;CustomTagValue2:=;CustomTagValue3:=;CustomPicture:=;CustomPicturePath:=" onAction="OnActionButton"/>
            <menu id="mnu_sbtSapientApproach_ExportStories" itemSize="normal" tag="RibbonName:=;inMenu:=;CustomTagValue1:=;CustomTagValue2:=;CustomTagValue3:=;CustomPicture:=;CustomPicturePath:=" getVisible="GetVisible" getEnabled="GetEnabled">
              <button id="btnSapientApproach_ExportStories_RS2" label="ResultSpace 2" tag="RibbonName:=;inMenu:=sbt17;CustomTagValue1:=;CustomTagValue2:=;CustomTagValue3:=;CustomPicture:=;CustomPicturePath:=" onAction="OnActionButton" getVisible="GetVisible" getEnabled="GetEnabled"/>
              <button id="btnSapientApproach_ExportStories_RS3" label="ResultSpace 3" tag="RibbonName:=;inMenu:=sbt17;CustomTagValue1:=;CustomTagValue2:=;CustomTagValue3:=;CustomPicture:=;CustomPicturePath:=" onAction="OnActionButton" getVisible="GetVisible" getEnabled="GetEnabled"/>
              <button id="btnSapientApproach_ExportStories_JIRA" label="Jira" tag="RibbonName:=;inMenu:=sbt17;CustomTagValue1:=;CustomTagValue2:=;CustomTagValue3:=;CustomPicture:=;CustomPicturePath:=" onAction="OnActionButton" getVisible="GetVisible" getEnabled="GetEnabled"/>
            </menu>
            <!--End menu (mnu_sbtSapientApproach_ExportStories) NOT delete this remark-->
          </splitButton>
          <!--End splitButton (sbtSapientApproach_ExportStories) NOT delete this remark-->
        </group>
        <group id="grpSapientApproach_StaffingPlan" label="S|A - Staffing Plan" getVisible="GetVisible">
          <splitButton id="sbtSapientApproach_AddWeek" size="large">
            <button id="btn_sbtSapientApproach_AddWeek" imageMso="CalendarInsert" label="Insert Week" screentip="Insert New Week" supertip="Insert one or multiple new weeks into the staffing plan." tag="RibbonName:=;inMenu:=;CustomTagValue1:=;CustomTagValue2:=;CustomTagValue3:=;CustomPicture:=;CustomPicturePath:=" onAction="OnActionButton"/>
            <menu id="mnu_sbtSapientApproach_AddWeek" itemSize="normal" tag="RibbonName:=;inMenu:=;CustomTagValue1:=;CustomTagValue2:=;CustomTagValue3:=;CustomPicture:=;CustomPicturePath:=" getVisible="GetVisible" getEnabled="GetEnabled">
              <!--<button id="btn_sbtSapientApproach_AddWeek" size="large" label="Add Week" screentip="Add Week" supertip="Add a new week to the staffing plan." imageMso="CalendarInsert" tag="RibbonName:=;inMenu:=;CustomTagValue1:=;CustomTagValue2:=;CustomTagValue3:=;CustomPicture:=;CustomPicturePath:=" onAction="OnActionButton" getVisible="GetVisible" getEnabled="GetEnabled" />-->
              <button id="btnSapientApproach_AddWeek_1" label="insert one week" imageMso="_1" tag="RibbonName:=;inMenu:=sbt10;CustomTagValue1:=;CustomTagValue2:=;CustomTagValue3:=;CustomPicture:=;CustomPicturePath:=" onAction="OnActionButton" getVisible="GetVisible" getEnabled="GetEnabled"/>
              <button id="btnSapientApproach_AddWeek_2" label="insert two weeks" imageMso="_2" tag="RibbonName:=;inMenu:=sbt10;CustomTagValue1:=;CustomTagValue2:=;CustomTagValue3:=;CustomPicture:=;CustomPicturePath:=" onAction="OnActionButton" getVisible="GetVisible" getEnabled="GetEnabled"/>
              <button id="btnSapientApproach_AddWeek_3" label="insert three weeks" imageMso="_3" tag="RibbonName:=;inMenu:=sbt10;CustomTagValue1:=;CustomTagValue2:=;CustomTagValue3:=;CustomPicture:=;CustomPicturePath:=" onAction="OnActionButton" getVisible="GetVisible" getEnabled="GetEnabled"/>
              <button id="btnSapientApproach_AddWeek_4" label="insert four weeks" imageMso="_4" tag="RibbonName:=;inMenu:=sbt10;CustomTagValue1:=;CustomTagValue2:=;CustomTagValue3:=;CustomPicture:=;CustomPicturePath:=" onAction="OnActionButton" getVisible="GetVisible" getEnabled="GetEnabled"/>
              <button id="btnSapientApproach_AddWeek_5" label="insert five weeks" imageMso="_5" tag="RibbonName:=;inMenu:=sbt10;CustomTagValue1:=;CustomTagValue2:=;CustomTagValue3:=;CustomPicture:=;CustomPicturePath:=" onAction="OnActionButton" getVisible="GetVisible" getEnabled="GetEnabled"/>
            </menu>
            <!--End menu (mnu_sbtSapientApproach_AddWeek) NOT delete this remark-->
          </splitButton>
          <!--End splitButton (sbtSapientApproach_AddWeek) NOT delete this remark-->
          <button id="btnSapientApproach_ExportData" size="large" label="Export Data" screentip="Export Data" supertip="Export the entered data of the staffing plan so you can add it directly to the deal tool." imageMso="ExportSharePointList" tag="RibbonName:=;inMenu:=;CustomTagValue1:=;CustomTagValue2:=;CustomTagValue3:=;CustomPicture:=;CustomPicturePath:=" onAction="OnActionButton" getVisible="GetVisible" getEnabled="GetEnabled"/>
        </group>
        <group id="grpSapientApproach_Help" label="S|A - Help" getVisible="GetVisible">
          <button id="btnSapientApproach_AboutDialog" size="large" label="About Estimation Tool" screentip="About Estimation Tool" imageMso="BlogHomePage" tag="RibbonName:=;inMenu:=;CustomTagValue1:=;CustomTagValue2:=;CustomTagValue3:=;CustomPicture:=;CustomPicturePath:=" onAction="OnActionButton" getVisible="GetVisible"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EA0D2667710A64C9CDF3BF87B53CED6" ma:contentTypeVersion="13" ma:contentTypeDescription="Create a new document." ma:contentTypeScope="" ma:versionID="b1b48eae4e6261fadb77fefafadaf05a">
  <xsd:schema xmlns:xsd="http://www.w3.org/2001/XMLSchema" xmlns:xs="http://www.w3.org/2001/XMLSchema" xmlns:p="http://schemas.microsoft.com/office/2006/metadata/properties" xmlns:ns2="ce3d992c-a6da-4846-8754-29f0f102a06e" xmlns:ns3="f4786658-2362-457d-9f1a-6ab604f80352" targetNamespace="http://schemas.microsoft.com/office/2006/metadata/properties" ma:root="true" ma:fieldsID="bfbe6562f5951d80367b54d9f9fb2d5a" ns2:_="" ns3:_="">
    <xsd:import namespace="ce3d992c-a6da-4846-8754-29f0f102a06e"/>
    <xsd:import namespace="f4786658-2362-457d-9f1a-6ab604f8035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d992c-a6da-4846-8754-29f0f102a06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4786658-2362-457d-9f1a-6ab604f8035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DD6D87-D39C-404A-821D-CBDEA252D0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d992c-a6da-4846-8754-29f0f102a06e"/>
    <ds:schemaRef ds:uri="f4786658-2362-457d-9f1a-6ab604f803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527BADE-B4D5-45B4-A5F1-4364834CB98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55C8A4-4D2B-4733-A556-341576E6C60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Help</vt:lpstr>
      <vt:lpstr>Project Overview</vt:lpstr>
      <vt:lpstr>Tasks (Metrics)</vt:lpstr>
      <vt:lpstr>Metrics</vt:lpstr>
      <vt:lpstr>Stories</vt:lpstr>
      <vt:lpstr>Add-ins</vt:lpstr>
      <vt:lpstr>Objective Risks</vt:lpstr>
      <vt:lpstr>Staffing Plan</vt:lpstr>
      <vt:lpstr>Track LOE Summary</vt:lpstr>
      <vt:lpstr>Total LOE</vt:lpstr>
      <vt:lpstr>Assumptions</vt:lpstr>
      <vt:lpstr>Pivot</vt:lpstr>
      <vt:lpstr>Sheet1</vt:lpstr>
      <vt:lpstr>addins_impact_loe_lookup</vt:lpstr>
      <vt:lpstr>addins_total_loe</vt:lpstr>
      <vt:lpstr>addins_track_list_lookup</vt:lpstr>
      <vt:lpstr>metrics_lookup_table</vt:lpstr>
      <vt:lpstr>project_delivery_select</vt:lpstr>
      <vt:lpstr>project_headline</vt:lpstr>
      <vt:lpstr>project_name</vt:lpstr>
      <vt:lpstr>project_phase</vt:lpstr>
      <vt:lpstr>project_pid</vt:lpstr>
      <vt:lpstr>project_tracks_list_column</vt:lpstr>
      <vt:lpstr>project_tracks_starting_row</vt:lpstr>
      <vt:lpstr>risks_risk_buffer_lookup</vt:lpstr>
      <vt:lpstr>risks_total_loe</vt:lpstr>
      <vt:lpstr>risks_track_list_lookup</vt:lpstr>
      <vt:lpstr>staffing_column_after_weeks</vt:lpstr>
      <vt:lpstr>staffing_column_before_weeks</vt:lpstr>
      <vt:lpstr>staffing_column_plan_start</vt:lpstr>
      <vt:lpstr>staffing_hidden_template_row</vt:lpstr>
      <vt:lpstr>staffing_planned_net_work_days</vt:lpstr>
      <vt:lpstr>staffing_row_after_oversight</vt:lpstr>
      <vt:lpstr>staffing_row_after_team</vt:lpstr>
      <vt:lpstr>staffing_row_before_oversight</vt:lpstr>
      <vt:lpstr>staffing_row_before_team</vt:lpstr>
      <vt:lpstr>staffing_total_loe_oversight</vt:lpstr>
      <vt:lpstr>staffing_total_loe_team</vt:lpstr>
      <vt:lpstr>staffing_total_person_days</vt:lpstr>
      <vt:lpstr>stories_buffered_loe_lookup</vt:lpstr>
      <vt:lpstr>stories_column_abp</vt:lpstr>
      <vt:lpstr>stories_column_category</vt:lpstr>
      <vt:lpstr>stories_column_description</vt:lpstr>
      <vt:lpstr>stories_column_error</vt:lpstr>
      <vt:lpstr>stories_column_hp</vt:lpstr>
      <vt:lpstr>stories_column_in_out</vt:lpstr>
      <vt:lpstr>stories_column_multiplier</vt:lpstr>
      <vt:lpstr>stories_column_notes</vt:lpstr>
      <vt:lpstr>stories_column_scope_reference</vt:lpstr>
      <vt:lpstr>stories_column_story_name</vt:lpstr>
      <vt:lpstr>stories_column_story_type</vt:lpstr>
      <vt:lpstr>stories_column_track</vt:lpstr>
      <vt:lpstr>stories_row_after_last_story</vt:lpstr>
      <vt:lpstr>stories_row_before_first_story</vt:lpstr>
      <vt:lpstr>stories_total_loe_abp</vt:lpstr>
      <vt:lpstr>stories_total_loe_buffered</vt:lpstr>
      <vt:lpstr>stories_total_loe_hp</vt:lpstr>
      <vt:lpstr>stories_track_list_lookup</vt:lpstr>
      <vt:lpstr>tasks_metrics_observation_area</vt:lpstr>
      <vt:lpstr>tasks_metrics_template</vt:lpstr>
      <vt:lpstr>tool_version</vt:lpstr>
      <vt:lpstr>tool_version_check</vt:lpstr>
      <vt:lpstr>tool_version_date</vt:lpstr>
      <vt:lpstr>tool_vox_address</vt:lpstr>
      <vt:lpstr>tool_vox_address_title</vt:lpstr>
      <vt:lpstr>total_loe</vt:lpstr>
      <vt:lpstr>track_loe_header_cell</vt:lpstr>
    </vt:vector>
  </TitlesOfParts>
  <Manager/>
  <Company>Sapient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Tool</dc:title>
  <dc:subject/>
  <dc:creator>Delivery Shared Services and Quality &amp; Methods</dc:creator>
  <cp:keywords/>
  <dc:description/>
  <cp:lastModifiedBy>Keshav Kumar</cp:lastModifiedBy>
  <cp:revision/>
  <dcterms:created xsi:type="dcterms:W3CDTF">2011-10-20T15:30:42Z</dcterms:created>
  <dcterms:modified xsi:type="dcterms:W3CDTF">2023-05-10T17:49:06Z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sync_IsSaved">
    <vt:lpwstr>False</vt:lpwstr>
  </property>
  <property fmtid="{D5CDD505-2E9C-101B-9397-08002B2CF9AE}" pid="3" name="Offisync_Username">
    <vt:lpwstr>asaxena</vt:lpwstr>
  </property>
  <property fmtid="{D5CDD505-2E9C-101B-9397-08002B2CF9AE}" pid="4" name="Offisync_SaveTime">
    <vt:lpwstr/>
  </property>
  <property fmtid="{D5CDD505-2E9C-101B-9397-08002B2CF9AE}" pid="5" name="Offisync_UpdateToken">
    <vt:lpwstr>16</vt:lpwstr>
  </property>
  <property fmtid="{D5CDD505-2E9C-101B-9397-08002B2CF9AE}" pid="6" name="Offisync_ProviderInitializationData">
    <vt:lpwstr>https://vox.sapient.com</vt:lpwstr>
  </property>
  <property fmtid="{D5CDD505-2E9C-101B-9397-08002B2CF9AE}" pid="7" name="Offisync_ProviderName">
    <vt:lpwstr>Jive</vt:lpwstr>
  </property>
  <property fmtid="{D5CDD505-2E9C-101B-9397-08002B2CF9AE}" pid="8" name="Offisync_UniqueId">
    <vt:lpwstr>4272</vt:lpwstr>
  </property>
  <property fmtid="{D5CDD505-2E9C-101B-9397-08002B2CF9AE}" pid="9" name="Offisync_FolderId">
    <vt:lpwstr/>
  </property>
  <property fmtid="{D5CDD505-2E9C-101B-9397-08002B2CF9AE}" pid="10" name="Offisync_UserID">
    <vt:lpwstr>3452</vt:lpwstr>
  </property>
  <property fmtid="{D5CDD505-2E9C-101B-9397-08002B2CF9AE}" pid="11" name="Offisync_FileTitle">
    <vt:lpwstr/>
  </property>
  <property fmtid="{D5CDD505-2E9C-101B-9397-08002B2CF9AE}" pid="12" name="Offisync_IsFrozen">
    <vt:lpwstr>False</vt:lpwstr>
  </property>
  <property fmtid="{D5CDD505-2E9C-101B-9397-08002B2CF9AE}" pid="13" name="ContentTypeId">
    <vt:lpwstr>0x0101003EA0D2667710A64C9CDF3BF87B53CED6</vt:lpwstr>
  </property>
</Properties>
</file>